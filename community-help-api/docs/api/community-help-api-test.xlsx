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Variables" sheetId="2" r:id="rId6"/>
    <sheet state="visible" name="Resumen" sheetId="3" r:id="rId7"/>
    <sheet state="visible" name="Auth" sheetId="4" r:id="rId8"/>
    <sheet state="visible" name="Users" sheetId="5" r:id="rId9"/>
    <sheet state="visible" name="Volunteers" sheetId="6" r:id="rId10"/>
    <sheet state="visible" name="Help Requests" sheetId="7" r:id="rId11"/>
    <sheet state="visible" name="Donations" sheetId="8" r:id="rId12"/>
    <sheet state="visible" name="Proposals" sheetId="9" r:id="rId13"/>
    <sheet state="visible" name="Chat" sheetId="10" r:id="rId14"/>
    <sheet state="visible" name="Reviews" sheetId="11" r:id="rId15"/>
  </sheets>
  <definedNames/>
  <calcPr/>
</workbook>
</file>

<file path=xl/sharedStrings.xml><?xml version="1.0" encoding="utf-8"?>
<sst xmlns="http://schemas.openxmlformats.org/spreadsheetml/2006/main" count="965" uniqueCount="520">
  <si>
    <t>Community Help API — Plan de Pruebas Swagger</t>
  </si>
  <si>
    <t>Guía de uso para verificar el funcionamiento completo de la API</t>
  </si>
  <si>
    <t>OBJETIVO</t>
  </si>
  <si>
    <t>Verificar que todos los endpoints de la API funcionan correctamente, cubriendo el flujo completo desde el registro de usuarios hasta la generación de proposals, chat y reseñas.</t>
  </si>
  <si>
    <t>PRERREQUISITOS</t>
  </si>
  <si>
    <t>1. La aplicación debe estar arrancada: ./mvnw spring-boot:run</t>
  </si>
  <si>
    <t>2. La base de datos PostgreSQL + PostGIS debe estar activa: docker compose up -d db</t>
  </si>
  <si>
    <t>3. Swagger UI accesible en: http://localhost:8080/swagger-ui.html</t>
  </si>
  <si>
    <t>CÓMO USAR ESTE DOCUMENTO</t>
  </si>
  <si>
    <t>1. Las pruebas están organizadas por hojas temáticas (Auth, Users, Volunteers, etc.)</t>
  </si>
  <si>
    <t>2. Sigue el orden de las hojas — hay dependencias entre ellas (necesitas tokens de pasos anteriores)</t>
  </si>
  <si>
    <t>3. Anota los IDs y tokens que obtengas en la hoja 'Variables' — los necesitarás en pruebas posteriores</t>
  </si>
  <si>
    <t>4. Marca el resultado en la columna RESULTADO: ✅ PASS / ❌ FAIL / ⏳ PENDIENTE</t>
  </si>
  <si>
    <t>5. Si algo falla, anota el error en la columna OBSERVACIONES</t>
  </si>
  <si>
    <t>ORDEN DE EJECUCIÓN</t>
  </si>
  <si>
    <t>1. Auth  →  2. Users  →  3. Volunteers  →  4. Help Requests  →  5. Donations  →  6. Proposals  →  7. Chat  →  8. Reviews</t>
  </si>
  <si>
    <t>LEYENDA DE COLORES</t>
  </si>
  <si>
    <t>✅ PASS — La prueba pasó correctamente</t>
  </si>
  <si>
    <t>❌ FAIL — La prueba falló</t>
  </si>
  <si>
    <t>⏳ PENDING — Pendiente de ejecutar</t>
  </si>
  <si>
    <t>Fila de sección / agrupación</t>
  </si>
  <si>
    <t>Variables — Tokens e IDs obtenidos durante las pruebas</t>
  </si>
  <si>
    <t>Variable</t>
  </si>
  <si>
    <t>Valor (rellena aquí)</t>
  </si>
  <si>
    <t>Dónde se obtiene</t>
  </si>
  <si>
    <t>User</t>
  </si>
  <si>
    <t>Body / Params</t>
  </si>
  <si>
    <t>ID_USER_A</t>
  </si>
  <si>
    <t>69ad88c5-bd50-46e1-824a-0625dabf99ea</t>
  </si>
  <si>
    <t>GET /api/v1/auth/register</t>
  </si>
  <si>
    <t>USER_A</t>
  </si>
  <si>
    <t>{"email":"ana@test.com","password":"Test1234!"}</t>
  </si>
  <si>
    <t>ID_USER_B</t>
  </si>
  <si>
    <t>beeaa200-52c6-44fa-9333-b4f6f375e314</t>
  </si>
  <si>
    <t>USER_B</t>
  </si>
  <si>
    <t>{"email":"carlos@test.com","password":"Test1234!"}</t>
  </si>
  <si>
    <t>ID_USER_C</t>
  </si>
  <si>
    <t>f08371a0-756b-47d7-b714-533edd782035</t>
  </si>
  <si>
    <t>USER_C</t>
  </si>
  <si>
    <t>{"email":"maria@test.com","password":"Test1234!"}</t>
  </si>
  <si>
    <t>ID_HELP_REQUEST_1</t>
  </si>
  <si>
    <t>c7cf918d-7e04-4104-9790-fa5bb9d3756d</t>
  </si>
  <si>
    <t>POST /api/v1/help-requests (creada por USER_C)</t>
  </si>
  <si>
    <t>ID_HELP_REQUEST_2</t>
  </si>
  <si>
    <t>d93546a3-fdc1-4f6d-96e2-0772bb61dfd3</t>
  </si>
  <si>
    <t>POST /api/v1/help-requests (segunda, para pruebas de cancelación)</t>
  </si>
  <si>
    <t>ID_DONATION_1</t>
  </si>
  <si>
    <t>4a2c7d53-9a34-4c40-9e8f-c8972db67211</t>
  </si>
  <si>
    <t>POST /api/v1/donations (creada por USER_C)</t>
  </si>
  <si>
    <t>ID_DONATION_2</t>
  </si>
  <si>
    <t>8396e74a-7bc5-4793-b7c4-bd79b3b7932b</t>
  </si>
  <si>
    <t>POST /api/v1/donations (segunda, para pruebas de ciclo completo)</t>
  </si>
  <si>
    <t>ID_1_PROPOSAL_HR</t>
  </si>
  <si>
    <t>967092f8-fb6a-4db2-af08-d77fa4540610</t>
  </si>
  <si>
    <t>GET /api/v1/proposals/volunteer (proposal de help request)</t>
  </si>
  <si>
    <t>ID_2_PROPOSAL_HR</t>
  </si>
  <si>
    <t>5df1bedc-a8b4-4cb2-9a9a-7b3d60252582</t>
  </si>
  <si>
    <t>ID_PROPOSAL_DON</t>
  </si>
  <si>
    <t>GET /api/v1/proposals/volunteer (proposal de donation)</t>
  </si>
  <si>
    <t>ID_CONVERSATION_HR</t>
  </si>
  <si>
    <t>66cce1b2-c3f3-4c17-a0c2-1ab7c4292c37</t>
  </si>
  <si>
    <t>POST /api/v1/conversations (conversación de help request)</t>
  </si>
  <si>
    <t>ID_CONVERSATION_DON</t>
  </si>
  <si>
    <t>POST /api/v1/conversations (conversación de donation)</t>
  </si>
  <si>
    <t>ID_REVIEW_1</t>
  </si>
  <si>
    <t>790140c5-ea51-48cf-a564-aa21257a55c6</t>
  </si>
  <si>
    <t>POST /api/v1/reviews (review creada)</t>
  </si>
  <si>
    <t>Resumen de resultados</t>
  </si>
  <si>
    <t>Módulo</t>
  </si>
  <si>
    <t>Total pruebas</t>
  </si>
  <si>
    <t>✅ PASS</t>
  </si>
  <si>
    <t>❌ FAIL</t>
  </si>
  <si>
    <t>⏳ Pendiente</t>
  </si>
  <si>
    <t>% Completado</t>
  </si>
  <si>
    <t>Auth</t>
  </si>
  <si>
    <t>Users</t>
  </si>
  <si>
    <t>Volunteers</t>
  </si>
  <si>
    <t>Help Requests</t>
  </si>
  <si>
    <t>Donations</t>
  </si>
  <si>
    <t>Proposals</t>
  </si>
  <si>
    <t>Chat</t>
  </si>
  <si>
    <t>Reviews</t>
  </si>
  <si>
    <t>TOTAL</t>
  </si>
  <si>
    <t>💡 Actualiza manualmente las columnas PASS/FAIL/Pendiente conforme vayas ejecutando las pruebas.</t>
  </si>
  <si>
    <t>Pruebas — Auth</t>
  </si>
  <si>
    <t>#</t>
  </si>
  <si>
    <t>Nombre de la prueba</t>
  </si>
  <si>
    <t>Método</t>
  </si>
  <si>
    <t>Endpoint</t>
  </si>
  <si>
    <t>Auth (token)</t>
  </si>
  <si>
    <t>Respuesta esperada</t>
  </si>
  <si>
    <t>Resultado</t>
  </si>
  <si>
    <t>Observaciones</t>
  </si>
  <si>
    <t>Fecha</t>
  </si>
  <si>
    <t>Registro de usuarios</t>
  </si>
  <si>
    <t>A-01</t>
  </si>
  <si>
    <t>Registrar Usuario A (futuro voluntario)</t>
  </si>
  <si>
    <t>POST</t>
  </si>
  <si>
    <t>/api/v1/auth/register</t>
  </si>
  <si>
    <t>Sin auth</t>
  </si>
  <si>
    <t>{"name":"Ana García","email":"ana@test.com","password":"Test1234!","latitude":43.5322,"longitude":-5.6611}</t>
  </si>
  <si>
    <t>200 OK · token JWT en respuesta</t>
  </si>
  <si>
    <t>Confirmar que el usuario se ha creado</t>
  </si>
  <si>
    <t>A-02</t>
  </si>
  <si>
    <t>Registrar Usuario B (futuro voluntario)</t>
  </si>
  <si>
    <t>{"name":"Carlos López","email":"carlos@test.com","password":"Test1234!","latitude":43.5330,"longitude":-5.6620}</t>
  </si>
  <si>
    <t>A-03</t>
  </si>
  <si>
    <t>Registrar Usuario C (solicitante/donante)</t>
  </si>
  <si>
    <t>{"name":"María Fernández","email":"maria@test.com","password":"Test1234!","latitude":43.5350,"longitude":-5.6650}</t>
  </si>
  <si>
    <t>A-04</t>
  </si>
  <si>
    <t>Registrar email duplicado</t>
  </si>
  <si>
    <t>{"name":"Otro","email":"ana@test.com","password":"Test1234!"}</t>
  </si>
  <si>
    <t>409 Conflict</t>
  </si>
  <si>
    <t>Debe rechazar email ya registrado</t>
  </si>
  <si>
    <t>A-05</t>
  </si>
  <si>
    <t>Registrar con datos inválidos (email mal formado)</t>
  </si>
  <si>
    <t>{"name":"Test","email":"noesemail","password":"123"}</t>
  </si>
  <si>
    <t>400 Bad Request · errores de validación</t>
  </si>
  <si>
    <t>Verificar mensaje de error</t>
  </si>
  <si>
    <t>Login</t>
  </si>
  <si>
    <t>A-06</t>
  </si>
  <si>
    <t>Login Usuario A</t>
  </si>
  <si>
    <t>/api/v1/auth/login</t>
  </si>
  <si>
    <t>200 OK · token JWT</t>
  </si>
  <si>
    <t>Confirmar la creación del token</t>
  </si>
  <si>
    <t>A-07</t>
  </si>
  <si>
    <t>Login Usuario B</t>
  </si>
  <si>
    <t>A-08</t>
  </si>
  <si>
    <t>Login Usuario C</t>
  </si>
  <si>
    <t>A-09</t>
  </si>
  <si>
    <t>Login Admin</t>
  </si>
  <si>
    <t>{"email":"&lt;ADMIN_EMAIL&gt;","password":"&lt;ADMIN_PASSWORD&gt;"}</t>
  </si>
  <si>
    <t>200 OK · token JWT con role ADMIN</t>
  </si>
  <si>
    <t>A-10</t>
  </si>
  <si>
    <t>Login con credenciales incorrectas</t>
  </si>
  <si>
    <t>{"email":"ana@test.com","password":"wrongpassword"}</t>
  </si>
  <si>
    <t>401 Unauthorized</t>
  </si>
  <si>
    <t>A-11</t>
  </si>
  <si>
    <t>Acceder a endpoint protegido sin token</t>
  </si>
  <si>
    <t>GET</t>
  </si>
  <si>
    <t>/api/v1/users/me</t>
  </si>
  <si>
    <t>-</t>
  </si>
  <si>
    <t>Verificar que el filtro JWT rechaza la petición</t>
  </si>
  <si>
    <t>Verificación de email</t>
  </si>
  <si>
    <t>A-12</t>
  </si>
  <si>
    <t>Verificar email con OTP válido</t>
  </si>
  <si>
    <t>/api/v1/auth/verify-email</t>
  </si>
  <si>
    <t>{"email":"ana@test.com","code":"XXXXXX"}</t>
  </si>
  <si>
    <t>200 OK</t>
  </si>
  <si>
    <t>Consultar el OTP real con: SELECT code FROM otp_codes WHERE email='ana@test.com' AND used=false</t>
  </si>
  <si>
    <t>A-13</t>
  </si>
  <si>
    <t>Verificar email con OTP expirado</t>
  </si>
  <si>
    <t>Forzar expiración: UPDATE otp_codes SET expires_at = now() - interval '1 hour'</t>
  </si>
  <si>
    <t>A-14</t>
  </si>
  <si>
    <t>Verificar email con OTP incorrecto</t>
  </si>
  <si>
    <t>{"email":"ana@test.com","code":"000000"}</t>
  </si>
  <si>
    <t>Código inventado, debe rechazarse</t>
  </si>
  <si>
    <t>Recuperación de contraseña</t>
  </si>
  <si>
    <t>A-17</t>
  </si>
  <si>
    <t>Solicitar reset (email existe)</t>
  </si>
  <si>
    <t>/api/v1/auth/forgot-password</t>
  </si>
  <si>
    <t>{"email":"ana@test.com"}</t>
  </si>
  <si>
    <t>Comprobar que llega email y se crea registro en otp_codes</t>
  </si>
  <si>
    <t>A-18</t>
  </si>
  <si>
    <t>Solicitar reset (email no existe)</t>
  </si>
  <si>
    <t>{"email":"noexiste@test.com"}</t>
  </si>
  <si>
    <t>404 Not Found</t>
  </si>
  <si>
    <t>Debe lanzar EntityNotFoundException</t>
  </si>
  <si>
    <t>A-19</t>
  </si>
  <si>
    <t>Resetear contraseña con OTP válido</t>
  </si>
  <si>
    <t>/api/v1/auth/reset-password</t>
  </si>
  <si>
    <t>{"email":"ana@test.com","code":"XXXXXX","newPassword":"NuevoPass1!"}</t>
  </si>
  <si>
    <t>Verificar login posterior con la nueva contraseña (ver A-20)</t>
  </si>
  <si>
    <t>A-20</t>
  </si>
  <si>
    <t>Login con nueva contraseña tras reset</t>
  </si>
  <si>
    <t>{"email":"ana@test.com","password":"NuevoPass1!"}</t>
  </si>
  <si>
    <t>Confirmar que el cambio de contraseña fue efectivo</t>
  </si>
  <si>
    <t>A-21</t>
  </si>
  <si>
    <t>Login con contraseña antigua tras reset</t>
  </si>
  <si>
    <t>La contraseña antigua ya no debe funcionar</t>
  </si>
  <si>
    <t>A-22</t>
  </si>
  <si>
    <t>Resetear contraseña con OTP incorrecto</t>
  </si>
  <si>
    <t>{"email":"ana@test.com","code":"000000","newPassword":"NuevoPass1!"}</t>
  </si>
  <si>
    <t>Código inventado</t>
  </si>
  <si>
    <t>A-23</t>
  </si>
  <si>
    <t>Resetear contraseña con nueva contraseña inválida</t>
  </si>
  <si>
    <t>{"email":"ana@test.com","code":"XXXXXX","newPassword":"123"}</t>
  </si>
  <si>
    <t>400 Bad Request</t>
  </si>
  <si>
    <t>Menos de 8 caracteres, debe fallar validación</t>
  </si>
  <si>
    <t>Pruebas — Users</t>
  </si>
  <si>
    <t>Perfil propio</t>
  </si>
  <si>
    <t>U-01</t>
  </si>
  <si>
    <t>Obtener mi perfil (User A)</t>
  </si>
  <si>
    <t>Con Auth</t>
  </si>
  <si>
    <t>200 OK · datos del usuario A</t>
  </si>
  <si>
    <t>Guardar id en ID_USER_A</t>
  </si>
  <si>
    <t>U-02</t>
  </si>
  <si>
    <t>Obtener mi perfil (User B)</t>
  </si>
  <si>
    <t>200 OK · datos del usuario B</t>
  </si>
  <si>
    <t>Guardar id en ID_USER_B</t>
  </si>
  <si>
    <t>U-03</t>
  </si>
  <si>
    <t>Obtener mi perfil (User C)</t>
  </si>
  <si>
    <t>200 OK · datos del usuario C</t>
  </si>
  <si>
    <t>Guardar id en ID_USER_C</t>
  </si>
  <si>
    <t>U-04</t>
  </si>
  <si>
    <t>Actualizar nombre y ubicación (User C)</t>
  </si>
  <si>
    <t>PATCH</t>
  </si>
  <si>
    <t>{"name":"María Fernández Rodriguez","latitude":43.5325,"longitude":-5.6615}</t>
  </si>
  <si>
    <t>200 OK · nombre actualizado</t>
  </si>
  <si>
    <t>Verificar que rating sigue siendo null o 0 (sin reviews aún)</t>
  </si>
  <si>
    <t>Admin — listado y eliminación</t>
  </si>
  <si>
    <t>U-05</t>
  </si>
  <si>
    <t>Conseguir todos los usuarios (Admin)</t>
  </si>
  <si>
    <t>/api/v1/users</t>
  </si>
  <si>
    <t>200 OK · lista con al menos 4 usuarios</t>
  </si>
  <si>
    <t>Verificar que aparecen los 3 usuarios creados y el admin</t>
  </si>
  <si>
    <t>U-06</t>
  </si>
  <si>
    <t>Conseguir usuarios sin permisos de admin</t>
  </si>
  <si>
    <t>403 Forbidden</t>
  </si>
  <si>
    <t>Access Denied</t>
  </si>
  <si>
    <t>Pruebas — Volunteers</t>
  </si>
  <si>
    <t>Registro como voluntario</t>
  </si>
  <si>
    <t>V-01</t>
  </si>
  <si>
    <t>Registrar User A como voluntario</t>
  </si>
  <si>
    <t>/api/v1/volunteers/me</t>
  </si>
  <si>
    <t>{"available":true,"radiusKm":10.0,"skills":["DRIVING","SHOPPING","COMPANIONSHIP"]}</t>
  </si>
  <si>
    <t>201 Created · perfil de voluntario</t>
  </si>
  <si>
    <t>Mismo ID que ID_USER_A</t>
  </si>
  <si>
    <t>V-02</t>
  </si>
  <si>
    <t>Registrar User B como voluntario</t>
  </si>
  <si>
    <t>{"available":true,"radiusKm":5.0,"skills":["SHOPPING","PHYSICAL_LABOR"]}</t>
  </si>
  <si>
    <t>Mismo ID que ID_USER_B</t>
  </si>
  <si>
    <t>V-03</t>
  </si>
  <si>
    <t>Registrar como voluntario dos veces (mismo usuario)</t>
  </si>
  <si>
    <t>{"available":true,"radiusKm":10.0,"skills":[]}</t>
  </si>
  <si>
    <t>User is already a volunteer</t>
  </si>
  <si>
    <t>Consulta y actualización</t>
  </si>
  <si>
    <t>V-04</t>
  </si>
  <si>
    <t>Obtener mi perfil de voluntario (User A)</t>
  </si>
  <si>
    <t>200 OK · available=true</t>
  </si>
  <si>
    <t>Verificar skills registradas</t>
  </si>
  <si>
    <t>V-05</t>
  </si>
  <si>
    <t>Actualizar disponibilidad a false (User A)</t>
  </si>
  <si>
    <t>{"available":false}</t>
  </si>
  <si>
    <t>200 OK · available=false</t>
  </si>
  <si>
    <t>Las Proposals con status CANCELLED</t>
  </si>
  <si>
    <t>V-06</t>
  </si>
  <si>
    <t>Restaurar disponibilidad a true (User A)</t>
  </si>
  <si>
    <t>{"available":true}</t>
  </si>
  <si>
    <t>Las Proposals con status CANCELLED volvieron a PENDING</t>
  </si>
  <si>
    <t>V-07</t>
  </si>
  <si>
    <t>Actualizar radio y skills (User B)</t>
  </si>
  <si>
    <t>{"radiusKm":15.0,"skills":["SHOPPING","DRIVING","COMPANIONSHIP"]}</t>
  </si>
  <si>
    <t>200 OK · radiusKm=15.0</t>
  </si>
  <si>
    <t>Verificar actualizaciones registradas</t>
  </si>
  <si>
    <t>V-08</t>
  </si>
  <si>
    <t>Obtener perfil sin ser voluntario (User C)</t>
  </si>
  <si>
    <t>Resource not found</t>
  </si>
  <si>
    <t>Pruebas — Help Requests</t>
  </si>
  <si>
    <t>Creación</t>
  </si>
  <si>
    <t>HR-01</t>
  </si>
  <si>
    <t>Crear Help Request 1 (User C)</t>
  </si>
  <si>
    <t>/api/v1/help-requests</t>
  </si>
  <si>
    <t>{"type":"SHOPPING","title":"Compra en supermercado","description":"Necesito que alguien me haga la compra","deadline":"2026-12-31T18:00:00","latitude":43.5350,"longitude":-5.6650}</t>
  </si>
  <si>
    <t>201 Created · status=OPEN · matching disparado automáticamente</t>
  </si>
  <si>
    <t>Guardar id en ID_HELP_REQUEST_1. Revisar logs para ver el matching</t>
  </si>
  <si>
    <t>HR-02</t>
  </si>
  <si>
    <t>Crear Help Request 2 (User C, para cancelar)</t>
  </si>
  <si>
    <t>{"type":"TRANSPORT","title":"Llevarme al médico","description":"Necesito transporte al hospital","latitude":43.5350,"longitude":-5.6650}</t>
  </si>
  <si>
    <t>201 Created · status=OPEN</t>
  </si>
  <si>
    <t>Guardar id en ID_HELP_REQUEST_2</t>
  </si>
  <si>
    <t>HR-03</t>
  </si>
  <si>
    <t>Crear Help Request con datos inválidos</t>
  </si>
  <si>
    <t>{"title":""}</t>
  </si>
  <si>
    <t>Validation failed. Verificar que devuelve los campos con error</t>
  </si>
  <si>
    <t>Consulta</t>
  </si>
  <si>
    <t>HR-04</t>
  </si>
  <si>
    <t>Obtener Help Requests abiertas (marketplace)</t>
  </si>
  <si>
    <t>200 OK · lista con las help requests abiertas</t>
  </si>
  <si>
    <t>Cualquier usuario puede ver todas las Help Requests con status Open</t>
  </si>
  <si>
    <t>HR-05</t>
  </si>
  <si>
    <t>Obtener mis Help Requests (User C)</t>
  </si>
  <si>
    <t>/api/v1/help-requests/me</t>
  </si>
  <si>
    <t>200 OK · lista con 2 help requests</t>
  </si>
  <si>
    <t>Verificar que devuelve las Help Requests creadas</t>
  </si>
  <si>
    <t>HR-06</t>
  </si>
  <si>
    <t>Obtener Help Request por ID</t>
  </si>
  <si>
    <t>/api/v1/help-requests/me/{ID_HELP_REQUEST_1}</t>
  </si>
  <si>
    <t>200 OK · status=OPEN</t>
  </si>
  <si>
    <t>Visualizar a Help Request del User C</t>
  </si>
  <si>
    <t>HR-07</t>
  </si>
  <si>
    <t>Solicitudes asignadas a mí como voluntario (User A)</t>
  </si>
  <si>
    <t>/api/v1/help-requests/assigned/me</t>
  </si>
  <si>
    <t>200 OK · lista vacía (aún no hay asignaciones)</t>
  </si>
  <si>
    <t>Visualizar las Help Requests (si las hay) del User.</t>
  </si>
  <si>
    <t>HR-08</t>
  </si>
  <si>
    <t>Obtener Help Requests por ID (Admin)</t>
  </si>
  <si>
    <t>/api/v1/help-requests/admin/{ID_HELP_REQUEST_1}</t>
  </si>
  <si>
    <t xml:space="preserve">200 OK </t>
  </si>
  <si>
    <t>Visualizar la Help Request del User como Admin.</t>
  </si>
  <si>
    <t>HR-09</t>
  </si>
  <si>
    <t>Obtener Help Requests por estado (Admin)</t>
  </si>
  <si>
    <t>/api/v1/help-requests/admin/by-status</t>
  </si>
  <si>
    <t>OPEN - ACCEPTED - COMPLETED - EXPIRED - CANCELLED</t>
  </si>
  <si>
    <t>200 OK · lista todas las Help Requests</t>
  </si>
  <si>
    <t>Verificar que devuelve las Help Requests existentes como Admin</t>
  </si>
  <si>
    <t>HR-10</t>
  </si>
  <si>
    <t>Obtener Help Request asignadas a un Voluntario (Admin)</t>
  </si>
  <si>
    <t>/api/v1/help-requests/admin/volunteer/{ID_USER_A}</t>
  </si>
  <si>
    <t>Visualizar a Help Request del User A (si las tuviera)</t>
  </si>
  <si>
    <t>HR-11</t>
  </si>
  <si>
    <t>Obtener Help Requests por ID de otro usuario (User A)</t>
  </si>
  <si>
    <t>403 Forbiden</t>
  </si>
  <si>
    <t>Actualización</t>
  </si>
  <si>
    <t>HR-12</t>
  </si>
  <si>
    <t>Actualizar título (User C, propietario)</t>
  </si>
  <si>
    <t>/api/v1/help-requests/{ID_HELP_REQUEST_1}</t>
  </si>
  <si>
    <t>200 OK · título actualizado</t>
  </si>
  <si>
    <t>Verificar cambio y que updated_at fue modificado de fecha</t>
  </si>
  <si>
    <t>HR-13</t>
  </si>
  <si>
    <t>Actualizar Help Request de otro usuario (User A)</t>
  </si>
  <si>
    <t>{"title":"Intento de modificación"}</t>
  </si>
  <si>
    <t>Acciones de negocio</t>
  </si>
  <si>
    <t>HR-14</t>
  </si>
  <si>
    <t>Cancelar Help Request 2 (User C)</t>
  </si>
  <si>
    <t>/api/v1/help-requests/{ID_HELP_REQUEST_2}/cancel</t>
  </si>
  <si>
    <t>200 OK · status=CANCELLED · active=false</t>
  </si>
  <si>
    <t>Verificar que las proposals pendientes también se cancelan</t>
  </si>
  <si>
    <t>HR-15</t>
  </si>
  <si>
    <t>Admin — Borrar Help Request</t>
  </si>
  <si>
    <t>DELETE</t>
  </si>
  <si>
    <t>/api/v1/help-requests/{ID_HELP_REQUEST_2}/admin</t>
  </si>
  <si>
    <t>204 No Content</t>
  </si>
  <si>
    <t>No existen ya registros en la BBDD</t>
  </si>
  <si>
    <t>Pruebas — Donations</t>
  </si>
  <si>
    <t>D-01</t>
  </si>
  <si>
    <t>Crear Donation 1 — Alimentos (User C)</t>
  </si>
  <si>
    <t>/api/v1/donations</t>
  </si>
  <si>
    <t>{"title":"Caja de conservas","description":"Conservas variadas sin abrir","donationType":"FOOD","foodType":"OTHER","quantity":10,"unit":"UNITS","latitude":43.5350,"longitude":-5.6650,"expiryDate":"2027-03-26T16:07:00.594Z"}</t>
  </si>
  <si>
    <t>201 Created · status=AVAILABLE · matching disparado</t>
  </si>
  <si>
    <t>Guardar id en ID_DONATION_1. Revisar logs para ver el matching</t>
  </si>
  <si>
    <t>D-02</t>
  </si>
  <si>
    <t>Crear Donation 2 — Ropa (User C, para ciclo completo)</t>
  </si>
  <si>
    <t>{"title":"Ropa de invierno","description":"Abrigos y jerséis en buen estado","donationType":"CLOTHING","quantity":5,"unit":"UNITS","latitude":43.5350,"longitude":-5.6650}</t>
  </si>
  <si>
    <t>201 Created · status=AVAILABLE</t>
  </si>
  <si>
    <t>Guardar id en ID_DONATION_2</t>
  </si>
  <si>
    <t>D-03</t>
  </si>
  <si>
    <t>Obtener mis donaciones (User C)</t>
  </si>
  <si>
    <t>/api/v1/donations/me</t>
  </si>
  <si>
    <t>200 OK · 2 donaciones</t>
  </si>
  <si>
    <t>Verificar que devuelve las donaciones creadas</t>
  </si>
  <si>
    <t>D-04</t>
  </si>
  <si>
    <t>Obtener donación por ID</t>
  </si>
  <si>
    <t>/api/v1/donations/{ID_DONATION_1}</t>
  </si>
  <si>
    <t>200 OK · status=AVAILABLE</t>
  </si>
  <si>
    <t>Verificar la donación</t>
  </si>
  <si>
    <t>D-05</t>
  </si>
  <si>
    <t>Mis donaciones filtradas por estado</t>
  </si>
  <si>
    <t>/api/v1/donations/me/status/AVAILABLE</t>
  </si>
  <si>
    <t>200 OK · lista con las donaciones disponibles</t>
  </si>
  <si>
    <t>Verificar que devuelve las donaciones creadas disponibles</t>
  </si>
  <si>
    <t>Ciclo de vida completo (Donation 2)</t>
  </si>
  <si>
    <t>D-06</t>
  </si>
  <si>
    <t>Reservar Donation 2 (User A como voluntario)</t>
  </si>
  <si>
    <t>/api/v1/donations/{ID_DONATION_2}/reserve</t>
  </si>
  <si>
    <t>200 OK · status=RESERVED · active=false</t>
  </si>
  <si>
    <t>Verificar que la Donation pasa a estar reservada</t>
  </si>
  <si>
    <t>D-07</t>
  </si>
  <si>
    <t>Confirmar reserva (User C como donante)</t>
  </si>
  <si>
    <t>/api/v1/donations/{ID_DONATION_2}/confirm</t>
  </si>
  <si>
    <t>200 OK · status=CONFIRMED · active=false</t>
  </si>
  <si>
    <t>Verificar que la Donation pasa a estar confirmada</t>
  </si>
  <si>
    <t>D-08</t>
  </si>
  <si>
    <t>Marcar como recogida (User A)</t>
  </si>
  <si>
    <t>/api/v1/donations/{ID_DONATION_2}/pickup</t>
  </si>
  <si>
    <t>200 OK · status=PICKED_UP · active=false</t>
  </si>
  <si>
    <t>Verificar que la Donation pasa a estar recogida</t>
  </si>
  <si>
    <t>D-09</t>
  </si>
  <si>
    <t>Completar donación (User A)</t>
  </si>
  <si>
    <t>/api/v1/donations/{ID_DONATION_2}/complete</t>
  </si>
  <si>
    <t>200 OK · status=COMPLETED · active=false</t>
  </si>
  <si>
    <t>Verificar que la Donation pasa a estar completa</t>
  </si>
  <si>
    <t>D-10</t>
  </si>
  <si>
    <t>Cancelar Donation 1 (User C)</t>
  </si>
  <si>
    <t>/api/v1/donations/{ID_DONATION_1}/cancel</t>
  </si>
  <si>
    <t>Las proposals pendientes también deben cancelarse</t>
  </si>
  <si>
    <t>Pruebas — Proposals</t>
  </si>
  <si>
    <t>Verificación del matching automático</t>
  </si>
  <si>
    <t>P-01</t>
  </si>
  <si>
    <t>Esperar a que el matching genere proposals (User A)</t>
  </si>
  <si>
    <t>/api/v1/proposals/volunteer</t>
  </si>
  <si>
    <t>200 OK · al menos 1 proposal PENDING para User A</t>
  </si>
  <si>
    <t>Guardar id en ID_PROPOSAL_HR_1 de la HR con ID_HELP_REQUEST_1</t>
  </si>
  <si>
    <t>P-02</t>
  </si>
  <si>
    <t>Ver proposals de User B</t>
  </si>
  <si>
    <t>200 OK · proposals PENDING para User B</t>
  </si>
  <si>
    <t>Guardar id en ID_PROPOSAL_HR_2 de la HR con ID_HELP_REQUEST_1</t>
  </si>
  <si>
    <t>Respuesta a proposals</t>
  </si>
  <si>
    <t>P-03</t>
  </si>
  <si>
    <t>Rechazar proposal de Help Request (User B)</t>
  </si>
  <si>
    <t>/api/v1/proposals/{ID_1_PROPOSAL_HR}/reject</t>
  </si>
  <si>
    <t>200 OK · status=REJECTED · respondedAt no nulo</t>
  </si>
  <si>
    <t>Usar el ID de proposal que tenga User B para esa HelpRequest</t>
  </si>
  <si>
    <t>P-04</t>
  </si>
  <si>
    <t>Aceptar proposal de Help Request (User A)</t>
  </si>
  <si>
    <t>/api/v1/proposals/{ID_2_PROPOSAL_HR}/accept</t>
  </si>
  <si>
    <t>200 OK · status=ACCEPTED · HelpRequest pasa a ACCEPTED</t>
  </si>
  <si>
    <t>Las demás proposals pendientes se disparan para cancelarse</t>
  </si>
  <si>
    <t>P-05</t>
  </si>
  <si>
    <t>Intentar aceptar proposal ya procesada (User A)</t>
  </si>
  <si>
    <t>409 Conflict — Proposal already processed</t>
  </si>
  <si>
    <t>P-06</t>
  </si>
  <si>
    <t>Intentar aceptar proposal de otro voluntario (User B)</t>
  </si>
  <si>
    <t>Admin</t>
  </si>
  <si>
    <t>P-07</t>
  </si>
  <si>
    <t>Obtener proposal por entidad (Help Request 1) (Admin)</t>
  </si>
  <si>
    <t>/api/v1/proposals/admin/entity/{ID_HELP_REQUEST_1}</t>
  </si>
  <si>
    <t>200 OK · proposal con score y status=PENDING</t>
  </si>
  <si>
    <t>P-08</t>
  </si>
  <si>
    <t>Listar proposals por estado PENDING (Admin)</t>
  </si>
  <si>
    <t>/api/v1/proposals/status/PENDING</t>
  </si>
  <si>
    <t>200 OK · página de proposals PENDING</t>
  </si>
  <si>
    <t>P-09</t>
  </si>
  <si>
    <t>Disparar matching manualmente para Help Request (Admin)</t>
  </si>
  <si>
    <t>/api/v1/proposals/generate/help-request/{ID_HELP_REQUEST_1}</t>
  </si>
  <si>
    <t>200 OK · matching disparado</t>
  </si>
  <si>
    <t>Útil para forzar regeneración en desarrollo</t>
  </si>
  <si>
    <t>Pruebas — Chat</t>
  </si>
  <si>
    <t>Conversaciones REST</t>
  </si>
  <si>
    <t>C-01</t>
  </si>
  <si>
    <t>Crear/obtener conversación de Help Request (User A)</t>
  </si>
  <si>
    <t>/api/v1/conversations?relatedEntityId={ID_HELP_REQUEST_1}&amp;type=HELP_REQUEST</t>
  </si>
  <si>
    <t>200 OK · conversación creada o recuperada</t>
  </si>
  <si>
    <t>Guardar id en ID_CONVERSATION_HR</t>
  </si>
  <si>
    <t>C-02</t>
  </si>
  <si>
    <t>Mis conversaciones (User A)</t>
  </si>
  <si>
    <t>/api/v1/conversations</t>
  </si>
  <si>
    <t>200 OK · al menos 1 conversación</t>
  </si>
  <si>
    <t>Verificar que existe la conversación ID_HELP_REQUEST_1</t>
  </si>
  <si>
    <t>C-03</t>
  </si>
  <si>
    <t>Enviar mensaje REST (User A)</t>
  </si>
  <si>
    <t>/api/v1/conversations/{ID_CONVERSATION_HR}/messages</t>
  </si>
  <si>
    <t>200 OK · mensaje guardado con senderId=USER_A</t>
  </si>
  <si>
    <t>Verificar que senderId=USER_A</t>
  </si>
  <si>
    <t>C-04</t>
  </si>
  <si>
    <t>Enviar mensaje REST (User C, respuesta)</t>
  </si>
  <si>
    <t>200 OK · mensaje guardado</t>
  </si>
  <si>
    <t>Verificar que senderId=USER_C</t>
  </si>
  <si>
    <t>C-05</t>
  </si>
  <si>
    <t>Obtener mensajes de la conversación (User A)</t>
  </si>
  <si>
    <t>200 OK · 2 mensajes paginados</t>
  </si>
  <si>
    <t>Verificar que aparecen los mensajes escritos</t>
  </si>
  <si>
    <t>C-06</t>
  </si>
  <si>
    <t>Marcar conversación como leída (User A)</t>
  </si>
  <si>
    <t>/api/v1/conversations/{ID_CONVERSATION_HR}/read</t>
  </si>
  <si>
    <t>Conversation marked as read</t>
  </si>
  <si>
    <t>C-07</t>
  </si>
  <si>
    <t>Eliminar mensaje (User A, su propio mensaje)</t>
  </si>
  <si>
    <t>/api/v1/conversations/{ID_CONVERSATION_HR}/messages/{messageId}</t>
  </si>
  <si>
    <t xml:space="preserve">	
Message deleted al usar el ID del primer mensaje enviado</t>
  </si>
  <si>
    <t>C-08</t>
  </si>
  <si>
    <t>Eliminar mensaje de otro usuario (User A)</t>
  </si>
  <si>
    <t>ACCESS_DENIED al usar el ID del mensaje enviado por User C</t>
  </si>
  <si>
    <t>Presencia</t>
  </si>
  <si>
    <t>C-09</t>
  </si>
  <si>
    <t>Ver usuarios online (User A)</t>
  </si>
  <si>
    <t>/api/v1/presence</t>
  </si>
  <si>
    <t>200 OK · Set de UUIDs de usuarios con WebSocket activo</t>
  </si>
  <si>
    <t>Vacío es correcto. Se puede comprobar con localhost:8080/chat-test.html, se añade el JWT Token del otro (User C) y se verifica su presencia</t>
  </si>
  <si>
    <t>Pruebas — Reviews</t>
  </si>
  <si>
    <t>Prerrequisito — Completar Help Request</t>
  </si>
  <si>
    <t>R-00</t>
  </si>
  <si>
    <t>Completar Help Request 1 (User A como voluntario asignado)</t>
  </si>
  <si>
    <t>/api/v1/help-requests/{ID_HELP_REQUEST_1}/complete</t>
  </si>
  <si>
    <t>200 OK · status=COMPLETED</t>
  </si>
  <si>
    <t>Necesario antes de poder dejar review. La Donation 2 ya fue completada en D-09</t>
  </si>
  <si>
    <t>Creación de reseñas</t>
  </si>
  <si>
    <t>R-01</t>
  </si>
  <si>
    <t>User C reseña a User A (por Help Request)</t>
  </si>
  <si>
    <t>/api/v1/reviews</t>
  </si>
  <si>
    <t>201 Created · rating recalculado en User A</t>
  </si>
  <si>
    <t>Guardar id en ID_REVIEW_1</t>
  </si>
  <si>
    <t>R-02</t>
  </si>
  <si>
    <t>User A reseña a User C (por Help Request)</t>
  </si>
  <si>
    <t>201 Created</t>
  </si>
  <si>
    <t>Verificar nueva reseña</t>
  </si>
  <si>
    <t>R-03</t>
  </si>
  <si>
    <t>User C reseña a User A (por Donation 2)</t>
  </si>
  <si>
    <t>201 Created · rating de User A actualizado (promedio de 2 reviews)</t>
  </si>
  <si>
    <t>Validaciones de negocio</t>
  </si>
  <si>
    <t>R-04</t>
  </si>
  <si>
    <t>Reseña duplicada con User C (misma entidad y autor)</t>
  </si>
  <si>
    <t>409 Conflict — Ya existe una review de este autor para esta entidad</t>
  </si>
  <si>
    <t>CONFLICT</t>
  </si>
  <si>
    <t>R-05</t>
  </si>
  <si>
    <t>Reseña en entidad no completada con User C</t>
  </si>
  <si>
    <t>409 Conflict — La entidad no está completada</t>
  </si>
  <si>
    <t>Donation 1 fue cancelada, no completada</t>
  </si>
  <si>
    <t>R-06</t>
  </si>
  <si>
    <t>Reseña sin participar en la entidad con User B</t>
  </si>
  <si>
    <t>409 Conflict — El autor no participó en esta entidad</t>
  </si>
  <si>
    <t>User B no participó en HR-1</t>
  </si>
  <si>
    <t>R-07</t>
  </si>
  <si>
    <t>Ver reviews de User A</t>
  </si>
  <si>
    <t>/api/v1/reviews/users/{ID_USER_A}</t>
  </si>
  <si>
    <t>200 OK · 2 reviews, rating promedio ~5.0</t>
  </si>
  <si>
    <t>Verificar que el rating del usuario en /users/me también refleja el promedio</t>
  </si>
  <si>
    <t>R-08</t>
  </si>
  <si>
    <t>Actualizar review (User C)</t>
  </si>
  <si>
    <t>/api/v1/reviews/{ID_REVIEW_1}</t>
  </si>
  <si>
    <t>{"rating":4,"comment":"Muy buen voluntario, aunque llegó un poco tarde"}</t>
  </si>
  <si>
    <t>200 OK · rating actualizado · promedio de User A recalculado</t>
  </si>
  <si>
    <t>R-09</t>
  </si>
  <si>
    <t>Actualizar review de otro usuario con User A</t>
  </si>
  <si>
    <t>{"rating":1,"comment":"Intento de modificación"}</t>
  </si>
  <si>
    <t>Solo el autor puede modificar su propia review</t>
  </si>
  <si>
    <t>R-10</t>
  </si>
  <si>
    <t>Eliminar review (User C)</t>
  </si>
  <si>
    <t>204 No Content · rating de User A recalculado</t>
  </si>
  <si>
    <t>Verificar que el rating vuelve a ser el promedio sin esta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</si>
</sst>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6.0"/>
      <color rgb="FF1F3864"/>
      <name val="Arial"/>
    </font>
    <font>
      <i/>
      <sz val="10.0"/>
      <color rgb="FF555555"/>
      <name val="Arial"/>
    </font>
    <font>
      <b/>
      <sz val="10.0"/>
      <color rgb="FF1F3864"/>
      <name val="Arial"/>
    </font>
    <font>
      <sz val="9.0"/>
      <color rgb="FF1F1F1F"/>
      <name val="Arial"/>
    </font>
    <font>
      <b/>
      <sz val="13.0"/>
      <color rgb="FF1F3864"/>
      <name val="Arial"/>
    </font>
    <font>
      <b/>
      <sz val="10.0"/>
      <color rgb="FFFFFFFF"/>
      <name val="Arial"/>
    </font>
    <font>
      <b/>
      <sz val="9.0"/>
      <color rgb="FF1F1F1F"/>
      <name val="Arial"/>
    </font>
    <font>
      <b/>
      <sz val="9.0"/>
      <color rgb="FFFFFFFF"/>
      <name val="Arial"/>
    </font>
    <font>
      <i/>
      <sz val="9.0"/>
      <color rgb="FF555555"/>
      <name val="Arial"/>
    </font>
    <font/>
    <font>
      <b/>
      <sz val="9.0"/>
      <color rgb="FF1F3864"/>
      <name val="Arial"/>
    </font>
    <font>
      <b/>
      <sz val="9.0"/>
      <color rgb="FF0070C0"/>
      <name val="Arial"/>
    </font>
    <font>
      <b/>
      <sz val="9.0"/>
      <color theme="1"/>
      <name val="Arial"/>
    </font>
    <font>
      <b/>
      <sz val="9.0"/>
      <color rgb="FF375623"/>
      <name val="Arial"/>
    </font>
    <font>
      <b/>
      <sz val="9.0"/>
      <color rgb="FF7030A0"/>
      <name val="Arial"/>
    </font>
    <font>
      <sz val="11.0"/>
      <color theme="1"/>
      <name val="Calibri"/>
    </font>
    <font>
      <b/>
      <sz val="9.0"/>
      <color rgb="FFC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6E4F0"/>
        <bgColor rgb="FFD6E4F0"/>
      </patternFill>
    </fill>
    <fill>
      <patternFill patternType="solid">
        <fgColor rgb="FF1F3864"/>
        <bgColor rgb="FF1F3864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/>
      <top/>
      <bottom/>
    </border>
    <border>
      <top/>
      <bottom/>
    </border>
    <border>
      <left style="thin">
        <color rgb="FFBDD7EE"/>
      </left>
      <top style="thin">
        <color rgb="FFBDD7EE"/>
      </top>
      <bottom style="thin">
        <color rgb="FFBDD7EE"/>
      </bottom>
    </border>
    <border>
      <top style="thin">
        <color rgb="FFBDD7EE"/>
      </top>
      <bottom style="thin">
        <color rgb="FFBDD7EE"/>
      </bottom>
    </border>
    <border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0"/>
    </xf>
    <xf borderId="1" fillId="7" fontId="7" numFmtId="0" xfId="0" applyAlignment="1" applyBorder="1" applyFill="1" applyFont="1">
      <alignment shrinkToFit="0" wrapText="1"/>
    </xf>
    <xf borderId="1" fillId="7" fontId="4" numFmtId="0" xfId="0" applyAlignment="1" applyBorder="1" applyFont="1">
      <alignment shrinkToFit="0" wrapText="1"/>
    </xf>
    <xf borderId="1" fillId="7" fontId="7" numFmtId="0" xfId="0" applyAlignment="1" applyBorder="1" applyFont="1">
      <alignment horizontal="left" shrinkToFit="0" vertical="center" wrapText="1"/>
    </xf>
    <xf borderId="1" fillId="7" fontId="4" numFmtId="0" xfId="0" applyAlignment="1" applyBorder="1" applyFont="1">
      <alignment horizontal="left" shrinkToFit="0" vertical="center" wrapText="0"/>
    </xf>
    <xf borderId="1" fillId="8" fontId="7" numFmtId="0" xfId="0" applyAlignment="1" applyBorder="1" applyFill="1" applyFont="1">
      <alignment shrinkToFit="0" wrapText="1"/>
    </xf>
    <xf borderId="1" fillId="8" fontId="4" numFmtId="0" xfId="0" applyAlignment="1" applyBorder="1" applyFont="1">
      <alignment shrinkToFit="0" wrapText="1"/>
    </xf>
    <xf borderId="1" fillId="8" fontId="7" numFmtId="0" xfId="0" applyAlignment="1" applyBorder="1" applyFont="1">
      <alignment horizontal="left" shrinkToFit="0" vertical="center" wrapText="1"/>
    </xf>
    <xf borderId="1" fillId="8" fontId="4" numFmtId="0" xfId="0" applyAlignment="1" applyBorder="1" applyFont="1">
      <alignment horizontal="left" shrinkToFit="0" vertical="center" wrapText="0"/>
    </xf>
    <xf borderId="1" fillId="8" fontId="4" numFmtId="0" xfId="0" applyAlignment="1" applyBorder="1" applyFont="1">
      <alignment horizontal="left" shrinkToFit="0" vertical="center" wrapText="1"/>
    </xf>
    <xf borderId="1" fillId="7" fontId="4" numFmtId="0" xfId="0" applyAlignment="1" applyBorder="1" applyFont="1">
      <alignment horizontal="left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9" fontId="8" numFmtId="0" xfId="0" applyAlignment="1" applyBorder="1" applyFill="1" applyFont="1">
      <alignment horizontal="left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2" fillId="8" fontId="5" numFmtId="0" xfId="0" applyAlignment="1" applyBorder="1" applyFont="1">
      <alignment horizontal="left" shrinkToFit="0" vertical="center" wrapText="1"/>
    </xf>
    <xf borderId="3" fillId="0" fontId="10" numFmtId="0" xfId="0" applyBorder="1" applyFont="1"/>
    <xf borderId="4" fillId="5" fontId="11" numFmtId="0" xfId="0" applyAlignment="1" applyBorder="1" applyFont="1">
      <alignment horizontal="left" shrinkToFit="0" vertical="center" wrapText="1"/>
    </xf>
    <xf borderId="5" fillId="0" fontId="10" numFmtId="0" xfId="0" applyBorder="1" applyFont="1"/>
    <xf borderId="6" fillId="0" fontId="10" numFmtId="0" xfId="0" applyBorder="1" applyFont="1"/>
    <xf borderId="1" fillId="7" fontId="12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8" fontId="12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left" readingOrder="0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ont="1">
      <alignment horizontal="left"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left" readingOrder="0" shrinkToFit="0" vertical="center" wrapText="1"/>
    </xf>
    <xf borderId="1" fillId="7" fontId="14" numFmtId="0" xfId="0" applyAlignment="1" applyBorder="1" applyFont="1">
      <alignment horizontal="center" shrinkToFit="0" vertical="center" wrapText="1"/>
    </xf>
    <xf borderId="1" fillId="8" fontId="15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7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" fillId="10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ont="1">
      <alignment horizontal="left" shrinkToFit="0" vertical="center" wrapText="1"/>
    </xf>
    <xf borderId="1" fillId="10" fontId="14" numFmtId="0" xfId="0" applyAlignment="1" applyBorder="1" applyFont="1">
      <alignment horizontal="center" shrinkToFit="0" vertical="center" wrapText="1"/>
    </xf>
    <xf borderId="1" fillId="8" fontId="4" numFmtId="0" xfId="0" applyAlignment="1" applyBorder="1" applyFont="1">
      <alignment shrinkToFit="0" vertical="center" wrapText="1"/>
    </xf>
    <xf borderId="1" fillId="8" fontId="16" numFmtId="0" xfId="0" applyAlignment="1" applyBorder="1" applyFont="1">
      <alignment vertical="center"/>
    </xf>
    <xf borderId="1" fillId="8" fontId="17" numFmtId="0" xfId="0" applyAlignment="1" applyBorder="1" applyFont="1">
      <alignment horizontal="center" shrinkToFit="0" vertical="center" wrapText="1"/>
    </xf>
    <xf borderId="1" fillId="7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A2FCA2"/>
          <bgColor rgb="FFA2FCA2"/>
        </patternFill>
      </fill>
      <border/>
    </dxf>
    <dxf>
      <font/>
      <fill>
        <patternFill patternType="solid">
          <fgColor rgb="FFF2F7FC"/>
          <bgColor rgb="FFF2F7FC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80.0"/>
    <col customWidth="1" min="3" max="6" width="8.71"/>
  </cols>
  <sheetData>
    <row r="2" ht="27.75" customHeight="1">
      <c r="B2" s="1" t="s">
        <v>0</v>
      </c>
    </row>
    <row r="4">
      <c r="B4" s="2" t="s">
        <v>1</v>
      </c>
    </row>
    <row r="6">
      <c r="B6" s="3" t="s">
        <v>2</v>
      </c>
    </row>
    <row r="7">
      <c r="B7" s="4" t="s">
        <v>3</v>
      </c>
    </row>
    <row r="8">
      <c r="B8" s="3" t="s">
        <v>4</v>
      </c>
    </row>
    <row r="9">
      <c r="B9" s="4" t="s">
        <v>5</v>
      </c>
    </row>
    <row r="10">
      <c r="B10" s="4" t="s">
        <v>6</v>
      </c>
    </row>
    <row r="11">
      <c r="B11" s="4" t="s">
        <v>7</v>
      </c>
    </row>
    <row r="12">
      <c r="B12" s="3" t="s">
        <v>8</v>
      </c>
    </row>
    <row r="13">
      <c r="B13" s="4" t="s">
        <v>9</v>
      </c>
    </row>
    <row r="14">
      <c r="B14" s="4" t="s">
        <v>10</v>
      </c>
    </row>
    <row r="15">
      <c r="B15" s="4" t="s">
        <v>11</v>
      </c>
    </row>
    <row r="16">
      <c r="B16" s="4" t="s">
        <v>12</v>
      </c>
    </row>
    <row r="17">
      <c r="B17" s="4" t="s">
        <v>13</v>
      </c>
    </row>
    <row r="18">
      <c r="B18" s="3" t="s">
        <v>14</v>
      </c>
    </row>
    <row r="19">
      <c r="B19" s="4" t="s">
        <v>15</v>
      </c>
    </row>
    <row r="20">
      <c r="B20" s="3" t="s">
        <v>16</v>
      </c>
    </row>
    <row r="21" ht="15.75" customHeight="1">
      <c r="B21" s="5" t="s">
        <v>17</v>
      </c>
    </row>
    <row r="22" ht="15.75" customHeight="1">
      <c r="B22" s="6" t="s">
        <v>18</v>
      </c>
    </row>
    <row r="23" ht="15.75" customHeight="1">
      <c r="B23" s="7" t="s">
        <v>19</v>
      </c>
    </row>
    <row r="24" ht="15.75" customHeight="1">
      <c r="B24" s="8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B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3" width="60.0"/>
    <col customWidth="1" min="4" max="4" width="40.0"/>
    <col customWidth="1" min="5" max="6" width="8.71"/>
    <col customWidth="1" min="7" max="7" width="41.43"/>
  </cols>
  <sheetData>
    <row r="2" ht="24.0" customHeight="1">
      <c r="B2" s="9" t="s">
        <v>21</v>
      </c>
    </row>
    <row r="4" ht="19.5" customHeight="1">
      <c r="B4" s="10" t="s">
        <v>22</v>
      </c>
      <c r="C4" s="10" t="s">
        <v>23</v>
      </c>
      <c r="D4" s="10" t="s">
        <v>24</v>
      </c>
      <c r="F4" s="10" t="s">
        <v>25</v>
      </c>
      <c r="G4" s="11" t="s">
        <v>26</v>
      </c>
    </row>
    <row r="5" ht="18.0" customHeight="1">
      <c r="B5" s="12" t="s">
        <v>27</v>
      </c>
      <c r="C5" s="13" t="s">
        <v>28</v>
      </c>
      <c r="D5" s="13" t="s">
        <v>29</v>
      </c>
      <c r="F5" s="14" t="s">
        <v>30</v>
      </c>
      <c r="G5" s="15" t="s">
        <v>31</v>
      </c>
    </row>
    <row r="6" ht="18.0" customHeight="1">
      <c r="B6" s="16" t="s">
        <v>32</v>
      </c>
      <c r="C6" s="17" t="s">
        <v>33</v>
      </c>
      <c r="D6" s="17" t="s">
        <v>29</v>
      </c>
      <c r="F6" s="18" t="s">
        <v>34</v>
      </c>
      <c r="G6" s="19" t="s">
        <v>35</v>
      </c>
    </row>
    <row r="7" ht="18.0" customHeight="1">
      <c r="B7" s="12" t="s">
        <v>36</v>
      </c>
      <c r="C7" s="13" t="s">
        <v>37</v>
      </c>
      <c r="D7" s="13" t="s">
        <v>29</v>
      </c>
      <c r="F7" s="14" t="s">
        <v>38</v>
      </c>
      <c r="G7" s="15" t="s">
        <v>39</v>
      </c>
    </row>
    <row r="8" ht="18.0" customHeight="1">
      <c r="B8" s="18" t="s">
        <v>40</v>
      </c>
      <c r="C8" s="20" t="s">
        <v>41</v>
      </c>
      <c r="D8" s="20" t="s">
        <v>42</v>
      </c>
    </row>
    <row r="9" ht="18.0" customHeight="1">
      <c r="B9" s="14" t="s">
        <v>43</v>
      </c>
      <c r="C9" s="21" t="s">
        <v>44</v>
      </c>
      <c r="D9" s="21" t="s">
        <v>45</v>
      </c>
    </row>
    <row r="10" ht="18.0" customHeight="1">
      <c r="B10" s="18" t="s">
        <v>46</v>
      </c>
      <c r="C10" s="20" t="s">
        <v>47</v>
      </c>
      <c r="D10" s="20" t="s">
        <v>48</v>
      </c>
    </row>
    <row r="11" ht="18.0" customHeight="1">
      <c r="B11" s="14" t="s">
        <v>49</v>
      </c>
      <c r="C11" s="21" t="s">
        <v>50</v>
      </c>
      <c r="D11" s="21" t="s">
        <v>51</v>
      </c>
    </row>
    <row r="12" ht="18.0" customHeight="1">
      <c r="B12" s="18" t="s">
        <v>52</v>
      </c>
      <c r="C12" s="20" t="s">
        <v>53</v>
      </c>
      <c r="D12" s="20" t="s">
        <v>54</v>
      </c>
    </row>
    <row r="13" ht="18.0" customHeight="1">
      <c r="B13" s="18" t="s">
        <v>55</v>
      </c>
      <c r="C13" s="20" t="s">
        <v>56</v>
      </c>
      <c r="D13" s="20" t="s">
        <v>54</v>
      </c>
    </row>
    <row r="14" ht="18.0" customHeight="1">
      <c r="B14" s="14" t="s">
        <v>57</v>
      </c>
      <c r="C14" s="21"/>
      <c r="D14" s="21" t="s">
        <v>58</v>
      </c>
    </row>
    <row r="15" ht="18.0" customHeight="1">
      <c r="B15" s="18" t="s">
        <v>59</v>
      </c>
      <c r="C15" s="20" t="s">
        <v>60</v>
      </c>
      <c r="D15" s="20" t="s">
        <v>61</v>
      </c>
    </row>
    <row r="16" ht="18.0" customHeight="1">
      <c r="B16" s="14" t="s">
        <v>62</v>
      </c>
      <c r="C16" s="21"/>
      <c r="D16" s="21" t="s">
        <v>63</v>
      </c>
    </row>
    <row r="17" ht="18.0" customHeight="1">
      <c r="B17" s="18" t="s">
        <v>64</v>
      </c>
      <c r="C17" s="20" t="s">
        <v>65</v>
      </c>
      <c r="D17" s="20" t="s">
        <v>66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5" width="14.0"/>
    <col customWidth="1" min="6" max="6" width="22.0"/>
    <col customWidth="1" min="7" max="7" width="11.71"/>
  </cols>
  <sheetData>
    <row r="2" ht="24.0" customHeight="1">
      <c r="B2" s="9" t="s">
        <v>67</v>
      </c>
    </row>
    <row r="4">
      <c r="B4" s="22" t="s">
        <v>68</v>
      </c>
      <c r="C4" s="22" t="s">
        <v>69</v>
      </c>
      <c r="D4" s="22" t="s">
        <v>70</v>
      </c>
      <c r="E4" s="22" t="s">
        <v>71</v>
      </c>
      <c r="F4" s="22" t="s">
        <v>72</v>
      </c>
      <c r="G4" s="22" t="s">
        <v>73</v>
      </c>
    </row>
    <row r="5" ht="18.0" customHeight="1">
      <c r="B5" s="14" t="s">
        <v>74</v>
      </c>
      <c r="C5" s="23">
        <f>COUNTIF(Auth!A:A,"A-*")</f>
        <v>21</v>
      </c>
      <c r="D5" s="23">
        <f>COUNTIF(Auth!H:H,D4)</f>
        <v>21</v>
      </c>
      <c r="E5" s="23">
        <f>COUNTIF(Auth!H:H,E4)</f>
        <v>0</v>
      </c>
      <c r="F5" s="23">
        <f>COUNTIF(Auth!H:H,F4)</f>
        <v>0</v>
      </c>
      <c r="G5" s="23">
        <f t="shared" ref="G5:G13" si="1">(D5/C5) * 100</f>
        <v>100</v>
      </c>
    </row>
    <row r="6" ht="18.0" customHeight="1">
      <c r="B6" s="18" t="s">
        <v>75</v>
      </c>
      <c r="C6" s="23">
        <f>COUNTIF(Users!A:A,"U-*")</f>
        <v>6</v>
      </c>
      <c r="D6" s="23">
        <f>COUNTIF(Users!H:H,D4)</f>
        <v>6</v>
      </c>
      <c r="E6" s="23">
        <f>COUNTIF(Users!H:H,E4)</f>
        <v>0</v>
      </c>
      <c r="F6" s="23">
        <f>COUNTIF(Users!H:H,F4)</f>
        <v>0</v>
      </c>
      <c r="G6" s="23">
        <f t="shared" si="1"/>
        <v>100</v>
      </c>
    </row>
    <row r="7" ht="18.0" customHeight="1">
      <c r="B7" s="14" t="s">
        <v>76</v>
      </c>
      <c r="C7" s="23">
        <f>COUNTIF(Volunteers!A:A,"V-*")</f>
        <v>8</v>
      </c>
      <c r="D7" s="23">
        <f>COUNTIF(Volunteers!H:H,D4)</f>
        <v>8</v>
      </c>
      <c r="E7" s="23">
        <f>COUNTIF(Volunteers!H:H,E4)</f>
        <v>0</v>
      </c>
      <c r="F7" s="23">
        <f>COUNTIF(Volunteers!H:H,F4)</f>
        <v>0</v>
      </c>
      <c r="G7" s="23">
        <f t="shared" si="1"/>
        <v>100</v>
      </c>
    </row>
    <row r="8" ht="18.0" customHeight="1">
      <c r="B8" s="18" t="s">
        <v>77</v>
      </c>
      <c r="C8" s="23">
        <f>COUNTIF('Help Requests'!A:A,"Hr-*")</f>
        <v>15</v>
      </c>
      <c r="D8" s="23">
        <f>COUNTIF('Help Requests'!H:H,D4)</f>
        <v>15</v>
      </c>
      <c r="E8" s="23">
        <f>COUNTIF('Help Requests'!H:H,E4)</f>
        <v>0</v>
      </c>
      <c r="F8" s="23">
        <f>COUNTIF('Help Requests'!H:H,F4)</f>
        <v>0</v>
      </c>
      <c r="G8" s="23">
        <f t="shared" si="1"/>
        <v>100</v>
      </c>
    </row>
    <row r="9" ht="18.0" customHeight="1">
      <c r="B9" s="14" t="s">
        <v>78</v>
      </c>
      <c r="C9" s="23">
        <f>COUNTIF(Donations!A:A,"D-*")</f>
        <v>10</v>
      </c>
      <c r="D9" s="23">
        <f>COUNTIF(Donations!H:H,D4)</f>
        <v>10</v>
      </c>
      <c r="E9" s="23">
        <f>COUNTIF(Donations!H:H,E4)</f>
        <v>0</v>
      </c>
      <c r="F9" s="23">
        <f>COUNTIF(Donations!H:H,F4)</f>
        <v>0</v>
      </c>
      <c r="G9" s="23">
        <f t="shared" si="1"/>
        <v>100</v>
      </c>
    </row>
    <row r="10" ht="18.0" customHeight="1">
      <c r="B10" s="18" t="s">
        <v>79</v>
      </c>
      <c r="C10" s="23">
        <f>COUNTIF(Proposals!A:A,"P-*")</f>
        <v>9</v>
      </c>
      <c r="D10" s="23">
        <f>COUNTIF(Proposals!H:H,D4)</f>
        <v>9</v>
      </c>
      <c r="E10" s="23">
        <f>COUNTIF(Proposals!H:H,E4)</f>
        <v>0</v>
      </c>
      <c r="F10" s="23">
        <f>COUNTIF(Proposals!H:H,F4)</f>
        <v>0</v>
      </c>
      <c r="G10" s="23">
        <f t="shared" si="1"/>
        <v>100</v>
      </c>
    </row>
    <row r="11" ht="18.0" customHeight="1">
      <c r="B11" s="14" t="s">
        <v>80</v>
      </c>
      <c r="C11" s="23">
        <f>COUNTIF(Chat!A:A,"C-*")</f>
        <v>9</v>
      </c>
      <c r="D11" s="23">
        <f>COUNTIF(Chat!H:H,D4)</f>
        <v>9</v>
      </c>
      <c r="E11" s="23">
        <f>COUNTIF(Chat!H:H,E4)</f>
        <v>0</v>
      </c>
      <c r="F11" s="23">
        <f>COUNTIF(Chat!H:H,F4)</f>
        <v>0</v>
      </c>
      <c r="G11" s="23">
        <f t="shared" si="1"/>
        <v>100</v>
      </c>
    </row>
    <row r="12" ht="18.0" customHeight="1">
      <c r="B12" s="18" t="s">
        <v>81</v>
      </c>
      <c r="C12" s="23">
        <f>COUNTIF(Reviews!A:A,"R-*")</f>
        <v>11</v>
      </c>
      <c r="D12" s="23">
        <f>COUNTIF(Reviews!H:H,D4)</f>
        <v>11</v>
      </c>
      <c r="E12" s="23">
        <f>COUNTIF(Reviews!H:H,E4)</f>
        <v>0</v>
      </c>
      <c r="F12" s="23">
        <f>COUNTIF(Reviews!H:H,F4)</f>
        <v>0</v>
      </c>
      <c r="G12" s="23">
        <f t="shared" si="1"/>
        <v>100</v>
      </c>
    </row>
    <row r="13" ht="19.5" customHeight="1">
      <c r="B13" s="24" t="s">
        <v>82</v>
      </c>
      <c r="C13" s="25">
        <f t="shared" ref="C13:F13" si="2">SUM(C5:C12)</f>
        <v>89</v>
      </c>
      <c r="D13" s="25">
        <f t="shared" si="2"/>
        <v>89</v>
      </c>
      <c r="E13" s="25">
        <f t="shared" si="2"/>
        <v>0</v>
      </c>
      <c r="F13" s="25">
        <f t="shared" si="2"/>
        <v>0</v>
      </c>
      <c r="G13" s="25">
        <f t="shared" si="1"/>
        <v>100</v>
      </c>
    </row>
    <row r="15">
      <c r="B15" s="26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conditionalFormatting sqref="G5:G12">
    <cfRule type="cellIs" dxfId="0" priority="1" operator="equal">
      <formula>100</formula>
    </cfRule>
  </conditionalFormatting>
  <conditionalFormatting sqref="G5:G12">
    <cfRule type="cellIs" dxfId="1" priority="2" operator="equal">
      <formula>0</formula>
    </cfRule>
  </conditionalFormatting>
  <conditionalFormatting sqref="G5:G12">
    <cfRule type="cellIs" dxfId="2" priority="3" operator="lessThan">
      <formula>100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9.0"/>
    <col customWidth="1" min="4" max="4" width="42.0"/>
    <col customWidth="1" min="5" max="5" width="18.0"/>
    <col customWidth="1" min="6" max="6" width="55.0"/>
    <col customWidth="1" min="7" max="7" width="45.0"/>
    <col customWidth="1" min="8" max="8" width="16.0"/>
    <col customWidth="1" min="9" max="9" width="40.0"/>
    <col customWidth="1" min="10" max="10" width="14.0"/>
  </cols>
  <sheetData>
    <row r="1" ht="24.0" customHeight="1">
      <c r="A1" s="27" t="s">
        <v>84</v>
      </c>
      <c r="B1" s="28"/>
      <c r="C1" s="28"/>
      <c r="D1" s="28"/>
      <c r="E1" s="28"/>
      <c r="F1" s="28"/>
      <c r="G1" s="28"/>
      <c r="H1" s="28"/>
      <c r="I1" s="28"/>
      <c r="J1" s="28"/>
    </row>
    <row r="2" ht="21.75" customHeight="1">
      <c r="A2" s="22" t="s">
        <v>85</v>
      </c>
      <c r="B2" s="22" t="s">
        <v>86</v>
      </c>
      <c r="C2" s="22" t="s">
        <v>87</v>
      </c>
      <c r="D2" s="22" t="s">
        <v>88</v>
      </c>
      <c r="E2" s="22" t="s">
        <v>89</v>
      </c>
      <c r="F2" s="22" t="s">
        <v>26</v>
      </c>
      <c r="G2" s="22" t="s">
        <v>90</v>
      </c>
      <c r="H2" s="22" t="s">
        <v>91</v>
      </c>
      <c r="I2" s="22" t="s">
        <v>92</v>
      </c>
      <c r="J2" s="22" t="s">
        <v>93</v>
      </c>
    </row>
    <row r="3" ht="18.0" customHeight="1">
      <c r="A3" s="29" t="s">
        <v>94</v>
      </c>
      <c r="B3" s="30"/>
      <c r="C3" s="30"/>
      <c r="D3" s="30"/>
      <c r="E3" s="30"/>
      <c r="F3" s="30"/>
      <c r="G3" s="30"/>
      <c r="H3" s="30"/>
      <c r="I3" s="30"/>
      <c r="J3" s="31"/>
    </row>
    <row r="4" ht="42.0" customHeight="1">
      <c r="A4" s="23" t="s">
        <v>95</v>
      </c>
      <c r="B4" s="21" t="s">
        <v>96</v>
      </c>
      <c r="C4" s="32" t="s">
        <v>97</v>
      </c>
      <c r="D4" s="21" t="s">
        <v>98</v>
      </c>
      <c r="E4" s="21" t="s">
        <v>99</v>
      </c>
      <c r="F4" s="21" t="s">
        <v>100</v>
      </c>
      <c r="G4" s="21" t="s">
        <v>101</v>
      </c>
      <c r="H4" s="33" t="s">
        <v>70</v>
      </c>
      <c r="I4" s="21" t="s">
        <v>102</v>
      </c>
      <c r="J4" s="23"/>
    </row>
    <row r="5" ht="42.0" customHeight="1">
      <c r="A5" s="34" t="s">
        <v>103</v>
      </c>
      <c r="B5" s="20" t="s">
        <v>104</v>
      </c>
      <c r="C5" s="35" t="s">
        <v>97</v>
      </c>
      <c r="D5" s="20" t="s">
        <v>98</v>
      </c>
      <c r="E5" s="20" t="s">
        <v>99</v>
      </c>
      <c r="F5" s="20" t="s">
        <v>105</v>
      </c>
      <c r="G5" s="20" t="s">
        <v>101</v>
      </c>
      <c r="H5" s="33" t="s">
        <v>70</v>
      </c>
      <c r="I5" s="20" t="s">
        <v>102</v>
      </c>
      <c r="J5" s="34"/>
    </row>
    <row r="6" ht="42.0" customHeight="1">
      <c r="A6" s="23" t="s">
        <v>106</v>
      </c>
      <c r="B6" s="21" t="s">
        <v>107</v>
      </c>
      <c r="C6" s="32" t="s">
        <v>97</v>
      </c>
      <c r="D6" s="21" t="s">
        <v>98</v>
      </c>
      <c r="E6" s="21" t="s">
        <v>99</v>
      </c>
      <c r="F6" s="21" t="s">
        <v>108</v>
      </c>
      <c r="G6" s="21" t="s">
        <v>101</v>
      </c>
      <c r="H6" s="33" t="s">
        <v>70</v>
      </c>
      <c r="I6" s="21" t="s">
        <v>102</v>
      </c>
      <c r="J6" s="23"/>
    </row>
    <row r="7" ht="42.0" customHeight="1">
      <c r="A7" s="34" t="s">
        <v>109</v>
      </c>
      <c r="B7" s="20" t="s">
        <v>110</v>
      </c>
      <c r="C7" s="35" t="s">
        <v>97</v>
      </c>
      <c r="D7" s="20" t="s">
        <v>98</v>
      </c>
      <c r="E7" s="20" t="s">
        <v>99</v>
      </c>
      <c r="F7" s="20" t="s">
        <v>111</v>
      </c>
      <c r="G7" s="20" t="s">
        <v>112</v>
      </c>
      <c r="H7" s="33" t="s">
        <v>70</v>
      </c>
      <c r="I7" s="20" t="s">
        <v>113</v>
      </c>
      <c r="J7" s="34"/>
    </row>
    <row r="8" ht="42.0" customHeight="1">
      <c r="A8" s="23" t="s">
        <v>114</v>
      </c>
      <c r="B8" s="21" t="s">
        <v>115</v>
      </c>
      <c r="C8" s="32" t="s">
        <v>97</v>
      </c>
      <c r="D8" s="21" t="s">
        <v>98</v>
      </c>
      <c r="E8" s="21" t="s">
        <v>99</v>
      </c>
      <c r="F8" s="21" t="s">
        <v>116</v>
      </c>
      <c r="G8" s="21" t="s">
        <v>117</v>
      </c>
      <c r="H8" s="33" t="s">
        <v>70</v>
      </c>
      <c r="I8" s="21" t="s">
        <v>118</v>
      </c>
      <c r="J8" s="23"/>
    </row>
    <row r="9" ht="18.0" customHeight="1">
      <c r="A9" s="29" t="s">
        <v>119</v>
      </c>
      <c r="B9" s="30"/>
      <c r="C9" s="30"/>
      <c r="D9" s="30"/>
      <c r="E9" s="30"/>
      <c r="F9" s="30"/>
      <c r="G9" s="30"/>
      <c r="H9" s="30"/>
      <c r="I9" s="30"/>
      <c r="J9" s="31"/>
    </row>
    <row r="10" ht="42.0" customHeight="1">
      <c r="A10" s="23" t="s">
        <v>120</v>
      </c>
      <c r="B10" s="21" t="s">
        <v>121</v>
      </c>
      <c r="C10" s="32" t="s">
        <v>97</v>
      </c>
      <c r="D10" s="21" t="s">
        <v>122</v>
      </c>
      <c r="E10" s="21" t="s">
        <v>99</v>
      </c>
      <c r="F10" s="21" t="s">
        <v>31</v>
      </c>
      <c r="G10" s="21" t="s">
        <v>123</v>
      </c>
      <c r="H10" s="33" t="s">
        <v>70</v>
      </c>
      <c r="I10" s="21" t="s">
        <v>124</v>
      </c>
      <c r="J10" s="23"/>
    </row>
    <row r="11" ht="42.0" customHeight="1">
      <c r="A11" s="34" t="s">
        <v>125</v>
      </c>
      <c r="B11" s="20" t="s">
        <v>126</v>
      </c>
      <c r="C11" s="35" t="s">
        <v>97</v>
      </c>
      <c r="D11" s="20" t="s">
        <v>122</v>
      </c>
      <c r="E11" s="20" t="s">
        <v>99</v>
      </c>
      <c r="F11" s="20" t="s">
        <v>35</v>
      </c>
      <c r="G11" s="20" t="s">
        <v>123</v>
      </c>
      <c r="H11" s="33" t="s">
        <v>70</v>
      </c>
      <c r="I11" s="20" t="s">
        <v>124</v>
      </c>
      <c r="J11" s="34"/>
    </row>
    <row r="12" ht="42.0" customHeight="1">
      <c r="A12" s="23" t="s">
        <v>127</v>
      </c>
      <c r="B12" s="21" t="s">
        <v>128</v>
      </c>
      <c r="C12" s="32" t="s">
        <v>97</v>
      </c>
      <c r="D12" s="21" t="s">
        <v>122</v>
      </c>
      <c r="E12" s="21" t="s">
        <v>99</v>
      </c>
      <c r="F12" s="21" t="s">
        <v>39</v>
      </c>
      <c r="G12" s="21" t="s">
        <v>123</v>
      </c>
      <c r="H12" s="33" t="s">
        <v>70</v>
      </c>
      <c r="I12" s="21" t="s">
        <v>124</v>
      </c>
      <c r="J12" s="23"/>
    </row>
    <row r="13" ht="42.0" customHeight="1">
      <c r="A13" s="34" t="s">
        <v>129</v>
      </c>
      <c r="B13" s="20" t="s">
        <v>130</v>
      </c>
      <c r="C13" s="35" t="s">
        <v>97</v>
      </c>
      <c r="D13" s="20" t="s">
        <v>122</v>
      </c>
      <c r="E13" s="20" t="s">
        <v>99</v>
      </c>
      <c r="F13" s="20" t="s">
        <v>131</v>
      </c>
      <c r="G13" s="20" t="s">
        <v>132</v>
      </c>
      <c r="H13" s="33" t="s">
        <v>70</v>
      </c>
      <c r="I13" s="20" t="s">
        <v>124</v>
      </c>
      <c r="J13" s="34"/>
    </row>
    <row r="14" ht="42.0" customHeight="1">
      <c r="A14" s="23" t="s">
        <v>133</v>
      </c>
      <c r="B14" s="21" t="s">
        <v>134</v>
      </c>
      <c r="C14" s="32" t="s">
        <v>97</v>
      </c>
      <c r="D14" s="21" t="s">
        <v>122</v>
      </c>
      <c r="E14" s="21" t="s">
        <v>99</v>
      </c>
      <c r="F14" s="21" t="s">
        <v>135</v>
      </c>
      <c r="G14" s="21" t="s">
        <v>136</v>
      </c>
      <c r="H14" s="33" t="s">
        <v>70</v>
      </c>
      <c r="I14" s="21" t="s">
        <v>118</v>
      </c>
      <c r="J14" s="23"/>
    </row>
    <row r="15" ht="42.0" customHeight="1">
      <c r="A15" s="34" t="s">
        <v>137</v>
      </c>
      <c r="B15" s="20" t="s">
        <v>138</v>
      </c>
      <c r="C15" s="36" t="s">
        <v>139</v>
      </c>
      <c r="D15" s="20" t="s">
        <v>140</v>
      </c>
      <c r="E15" s="20" t="s">
        <v>99</v>
      </c>
      <c r="F15" s="20" t="s">
        <v>141</v>
      </c>
      <c r="G15" s="20" t="s">
        <v>136</v>
      </c>
      <c r="H15" s="33" t="s">
        <v>70</v>
      </c>
      <c r="I15" s="20" t="s">
        <v>142</v>
      </c>
      <c r="J15" s="34"/>
    </row>
    <row r="16" ht="18.0" customHeight="1">
      <c r="A16" s="37" t="s">
        <v>143</v>
      </c>
      <c r="B16" s="30"/>
      <c r="C16" s="30"/>
      <c r="D16" s="30"/>
      <c r="E16" s="30"/>
      <c r="F16" s="30"/>
      <c r="G16" s="30"/>
      <c r="H16" s="30"/>
      <c r="I16" s="30"/>
      <c r="J16" s="31"/>
    </row>
    <row r="17" ht="42.0" customHeight="1">
      <c r="A17" s="38" t="s">
        <v>144</v>
      </c>
      <c r="B17" s="39" t="s">
        <v>145</v>
      </c>
      <c r="C17" s="35" t="s">
        <v>97</v>
      </c>
      <c r="D17" s="39" t="s">
        <v>146</v>
      </c>
      <c r="E17" s="39" t="s">
        <v>99</v>
      </c>
      <c r="F17" s="39" t="s">
        <v>147</v>
      </c>
      <c r="G17" s="39" t="s">
        <v>148</v>
      </c>
      <c r="H17" s="40" t="s">
        <v>70</v>
      </c>
      <c r="I17" s="39" t="s">
        <v>149</v>
      </c>
      <c r="J17" s="34"/>
    </row>
    <row r="18" ht="42.0" customHeight="1">
      <c r="A18" s="41" t="s">
        <v>150</v>
      </c>
      <c r="B18" s="42" t="s">
        <v>151</v>
      </c>
      <c r="C18" s="32" t="s">
        <v>97</v>
      </c>
      <c r="D18" s="42" t="s">
        <v>146</v>
      </c>
      <c r="E18" s="42" t="s">
        <v>99</v>
      </c>
      <c r="F18" s="42" t="s">
        <v>147</v>
      </c>
      <c r="G18" s="42" t="s">
        <v>136</v>
      </c>
      <c r="H18" s="40" t="s">
        <v>70</v>
      </c>
      <c r="I18" s="42" t="s">
        <v>152</v>
      </c>
      <c r="J18" s="23"/>
    </row>
    <row r="19" ht="42.0" customHeight="1">
      <c r="A19" s="38" t="s">
        <v>153</v>
      </c>
      <c r="B19" s="39" t="s">
        <v>154</v>
      </c>
      <c r="C19" s="35" t="s">
        <v>97</v>
      </c>
      <c r="D19" s="39" t="s">
        <v>146</v>
      </c>
      <c r="E19" s="39" t="s">
        <v>99</v>
      </c>
      <c r="F19" s="39" t="s">
        <v>155</v>
      </c>
      <c r="G19" s="39" t="s">
        <v>136</v>
      </c>
      <c r="H19" s="40" t="s">
        <v>70</v>
      </c>
      <c r="I19" s="39" t="s">
        <v>156</v>
      </c>
      <c r="J19" s="34"/>
    </row>
    <row r="20" ht="18.0" customHeight="1">
      <c r="A20" s="37" t="s">
        <v>157</v>
      </c>
      <c r="B20" s="30"/>
      <c r="C20" s="30"/>
      <c r="D20" s="30"/>
      <c r="E20" s="30"/>
      <c r="F20" s="30"/>
      <c r="G20" s="30"/>
      <c r="H20" s="30"/>
      <c r="I20" s="30"/>
      <c r="J20" s="31"/>
    </row>
    <row r="21" ht="42.0" customHeight="1">
      <c r="A21" s="38" t="s">
        <v>158</v>
      </c>
      <c r="B21" s="39" t="s">
        <v>159</v>
      </c>
      <c r="C21" s="35" t="s">
        <v>97</v>
      </c>
      <c r="D21" s="39" t="s">
        <v>160</v>
      </c>
      <c r="E21" s="39" t="s">
        <v>99</v>
      </c>
      <c r="F21" s="39" t="s">
        <v>161</v>
      </c>
      <c r="G21" s="39" t="s">
        <v>148</v>
      </c>
      <c r="H21" s="40" t="s">
        <v>70</v>
      </c>
      <c r="I21" s="39" t="s">
        <v>162</v>
      </c>
      <c r="J21" s="34"/>
    </row>
    <row r="22" ht="42.0" customHeight="1">
      <c r="A22" s="41" t="s">
        <v>163</v>
      </c>
      <c r="B22" s="42" t="s">
        <v>164</v>
      </c>
      <c r="C22" s="32" t="s">
        <v>97</v>
      </c>
      <c r="D22" s="42" t="s">
        <v>160</v>
      </c>
      <c r="E22" s="42" t="s">
        <v>99</v>
      </c>
      <c r="F22" s="42" t="s">
        <v>165</v>
      </c>
      <c r="G22" s="42" t="s">
        <v>166</v>
      </c>
      <c r="H22" s="40" t="s">
        <v>70</v>
      </c>
      <c r="I22" s="42" t="s">
        <v>167</v>
      </c>
      <c r="J22" s="23"/>
    </row>
    <row r="23" ht="42.0" customHeight="1">
      <c r="A23" s="38" t="s">
        <v>168</v>
      </c>
      <c r="B23" s="39" t="s">
        <v>169</v>
      </c>
      <c r="C23" s="35" t="s">
        <v>97</v>
      </c>
      <c r="D23" s="39" t="s">
        <v>170</v>
      </c>
      <c r="E23" s="39" t="s">
        <v>99</v>
      </c>
      <c r="F23" s="39" t="s">
        <v>171</v>
      </c>
      <c r="G23" s="39" t="s">
        <v>148</v>
      </c>
      <c r="H23" s="40" t="s">
        <v>70</v>
      </c>
      <c r="I23" s="39" t="s">
        <v>172</v>
      </c>
      <c r="J23" s="34"/>
    </row>
    <row r="24" ht="42.0" customHeight="1">
      <c r="A24" s="41" t="s">
        <v>173</v>
      </c>
      <c r="B24" s="42" t="s">
        <v>174</v>
      </c>
      <c r="C24" s="32" t="s">
        <v>97</v>
      </c>
      <c r="D24" s="42" t="s">
        <v>122</v>
      </c>
      <c r="E24" s="42" t="s">
        <v>99</v>
      </c>
      <c r="F24" s="42" t="s">
        <v>175</v>
      </c>
      <c r="G24" s="42" t="s">
        <v>123</v>
      </c>
      <c r="H24" s="40" t="s">
        <v>70</v>
      </c>
      <c r="I24" s="42" t="s">
        <v>176</v>
      </c>
      <c r="J24" s="23"/>
    </row>
    <row r="25" ht="42.0" customHeight="1">
      <c r="A25" s="38" t="s">
        <v>177</v>
      </c>
      <c r="B25" s="39" t="s">
        <v>178</v>
      </c>
      <c r="C25" s="35" t="s">
        <v>97</v>
      </c>
      <c r="D25" s="39" t="s">
        <v>122</v>
      </c>
      <c r="E25" s="39" t="s">
        <v>99</v>
      </c>
      <c r="F25" s="39" t="s">
        <v>31</v>
      </c>
      <c r="G25" s="39" t="s">
        <v>136</v>
      </c>
      <c r="H25" s="40" t="s">
        <v>70</v>
      </c>
      <c r="I25" s="39" t="s">
        <v>179</v>
      </c>
      <c r="J25" s="34"/>
    </row>
    <row r="26" ht="42.0" customHeight="1">
      <c r="A26" s="41" t="s">
        <v>180</v>
      </c>
      <c r="B26" s="42" t="s">
        <v>181</v>
      </c>
      <c r="C26" s="32" t="s">
        <v>97</v>
      </c>
      <c r="D26" s="42" t="s">
        <v>170</v>
      </c>
      <c r="E26" s="42" t="s">
        <v>99</v>
      </c>
      <c r="F26" s="42" t="s">
        <v>182</v>
      </c>
      <c r="G26" s="42" t="s">
        <v>136</v>
      </c>
      <c r="H26" s="40" t="s">
        <v>70</v>
      </c>
      <c r="I26" s="42" t="s">
        <v>183</v>
      </c>
      <c r="J26" s="23"/>
    </row>
    <row r="27" ht="42.0" customHeight="1">
      <c r="A27" s="38" t="s">
        <v>184</v>
      </c>
      <c r="B27" s="39" t="s">
        <v>185</v>
      </c>
      <c r="C27" s="35" t="s">
        <v>97</v>
      </c>
      <c r="D27" s="39" t="s">
        <v>170</v>
      </c>
      <c r="E27" s="39" t="s">
        <v>99</v>
      </c>
      <c r="F27" s="39" t="s">
        <v>186</v>
      </c>
      <c r="G27" s="39" t="s">
        <v>187</v>
      </c>
      <c r="H27" s="40" t="s">
        <v>70</v>
      </c>
      <c r="I27" s="39" t="s">
        <v>188</v>
      </c>
      <c r="J27" s="3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A1:J1"/>
    <mergeCell ref="A3:J3"/>
    <mergeCell ref="A9:J9"/>
    <mergeCell ref="A16:J16"/>
    <mergeCell ref="A20:J20"/>
  </mergeCells>
  <conditionalFormatting sqref="H4:H8 H10:H15 H17:H19 H21:H27">
    <cfRule type="containsText" dxfId="3" priority="1" operator="containsText" text="✅ PASS">
      <formula>NOT(ISERROR(SEARCH(("✅ PASS"),(H4))))</formula>
    </cfRule>
  </conditionalFormatting>
  <conditionalFormatting sqref="H4:H8 H10:H15 H17:H19 H21:H27">
    <cfRule type="containsText" dxfId="4" priority="2" operator="containsText" text="❌ FAIL">
      <formula>NOT(ISERROR(SEARCH(("❌ FAIL"),(H4))))</formula>
    </cfRule>
  </conditionalFormatting>
  <conditionalFormatting sqref="H4:H8 H10:H15 H17:H19 H21:H27">
    <cfRule type="containsText" dxfId="2" priority="3" operator="containsText" text="⏳ PENDING">
      <formula>NOT(ISERROR(SEARCH(("⏳ PENDING"),(H4))))</formula>
    </cfRule>
  </conditionalFormatting>
  <dataValidations>
    <dataValidation type="list" allowBlank="1" showErrorMessage="1" sqref="H4:H8 H10:H15 H17:H19 H21:H27">
      <formula1>"⏳ PENDIENTE,✅ PASS,❌ 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9.0"/>
    <col customWidth="1" min="4" max="4" width="42.0"/>
    <col customWidth="1" min="5" max="5" width="18.0"/>
    <col customWidth="1" min="6" max="6" width="55.0"/>
    <col customWidth="1" min="7" max="7" width="45.0"/>
    <col customWidth="1" min="8" max="8" width="16.0"/>
    <col customWidth="1" min="9" max="9" width="40.0"/>
    <col customWidth="1" min="10" max="10" width="14.0"/>
  </cols>
  <sheetData>
    <row r="1" ht="24.0" customHeight="1">
      <c r="A1" s="27" t="s">
        <v>189</v>
      </c>
      <c r="B1" s="28"/>
      <c r="C1" s="28"/>
      <c r="D1" s="28"/>
      <c r="E1" s="28"/>
      <c r="F1" s="28"/>
      <c r="G1" s="28"/>
      <c r="H1" s="28"/>
      <c r="I1" s="28"/>
      <c r="J1" s="28"/>
    </row>
    <row r="2" ht="21.75" customHeight="1">
      <c r="A2" s="22" t="s">
        <v>85</v>
      </c>
      <c r="B2" s="22" t="s">
        <v>86</v>
      </c>
      <c r="C2" s="22" t="s">
        <v>87</v>
      </c>
      <c r="D2" s="22" t="s">
        <v>88</v>
      </c>
      <c r="E2" s="22" t="s">
        <v>89</v>
      </c>
      <c r="F2" s="22" t="s">
        <v>26</v>
      </c>
      <c r="G2" s="22" t="s">
        <v>90</v>
      </c>
      <c r="H2" s="22" t="s">
        <v>91</v>
      </c>
      <c r="I2" s="22" t="s">
        <v>92</v>
      </c>
      <c r="J2" s="22" t="s">
        <v>93</v>
      </c>
    </row>
    <row r="3" ht="18.0" customHeight="1">
      <c r="A3" s="29" t="s">
        <v>190</v>
      </c>
      <c r="B3" s="30"/>
      <c r="C3" s="30"/>
      <c r="D3" s="30"/>
      <c r="E3" s="30"/>
      <c r="F3" s="30"/>
      <c r="G3" s="30"/>
      <c r="H3" s="30"/>
      <c r="I3" s="30"/>
      <c r="J3" s="31"/>
    </row>
    <row r="4" ht="42.0" customHeight="1">
      <c r="A4" s="23" t="s">
        <v>191</v>
      </c>
      <c r="B4" s="21" t="s">
        <v>192</v>
      </c>
      <c r="C4" s="43" t="s">
        <v>139</v>
      </c>
      <c r="D4" s="21" t="s">
        <v>140</v>
      </c>
      <c r="E4" s="21" t="s">
        <v>193</v>
      </c>
      <c r="F4" s="21" t="s">
        <v>141</v>
      </c>
      <c r="G4" s="21" t="s">
        <v>194</v>
      </c>
      <c r="H4" s="33" t="s">
        <v>70</v>
      </c>
      <c r="I4" s="21" t="s">
        <v>195</v>
      </c>
      <c r="J4" s="23"/>
    </row>
    <row r="5" ht="42.0" customHeight="1">
      <c r="A5" s="34" t="s">
        <v>196</v>
      </c>
      <c r="B5" s="20" t="s">
        <v>197</v>
      </c>
      <c r="C5" s="36" t="s">
        <v>139</v>
      </c>
      <c r="D5" s="20" t="s">
        <v>140</v>
      </c>
      <c r="E5" s="20" t="s">
        <v>193</v>
      </c>
      <c r="F5" s="20" t="s">
        <v>141</v>
      </c>
      <c r="G5" s="20" t="s">
        <v>198</v>
      </c>
      <c r="H5" s="33" t="s">
        <v>70</v>
      </c>
      <c r="I5" s="20" t="s">
        <v>199</v>
      </c>
      <c r="J5" s="34"/>
    </row>
    <row r="6" ht="42.0" customHeight="1">
      <c r="A6" s="23" t="s">
        <v>200</v>
      </c>
      <c r="B6" s="21" t="s">
        <v>201</v>
      </c>
      <c r="C6" s="43" t="s">
        <v>139</v>
      </c>
      <c r="D6" s="21" t="s">
        <v>140</v>
      </c>
      <c r="E6" s="21" t="s">
        <v>193</v>
      </c>
      <c r="F6" s="21" t="s">
        <v>141</v>
      </c>
      <c r="G6" s="21" t="s">
        <v>202</v>
      </c>
      <c r="H6" s="33" t="s">
        <v>70</v>
      </c>
      <c r="I6" s="21" t="s">
        <v>203</v>
      </c>
      <c r="J6" s="23"/>
    </row>
    <row r="7" ht="42.0" customHeight="1">
      <c r="A7" s="34" t="s">
        <v>204</v>
      </c>
      <c r="B7" s="20" t="s">
        <v>205</v>
      </c>
      <c r="C7" s="44" t="s">
        <v>206</v>
      </c>
      <c r="D7" s="20" t="s">
        <v>140</v>
      </c>
      <c r="E7" s="20" t="s">
        <v>193</v>
      </c>
      <c r="F7" s="20" t="s">
        <v>207</v>
      </c>
      <c r="G7" s="20" t="s">
        <v>208</v>
      </c>
      <c r="H7" s="33" t="s">
        <v>70</v>
      </c>
      <c r="I7" s="20" t="s">
        <v>209</v>
      </c>
      <c r="J7" s="34"/>
    </row>
    <row r="8" ht="18.0" customHeight="1">
      <c r="A8" s="29" t="s">
        <v>210</v>
      </c>
      <c r="B8" s="30"/>
      <c r="C8" s="30"/>
      <c r="D8" s="30"/>
      <c r="E8" s="30"/>
      <c r="F8" s="30"/>
      <c r="G8" s="30"/>
      <c r="H8" s="30"/>
      <c r="I8" s="30"/>
      <c r="J8" s="31"/>
    </row>
    <row r="9" ht="42.0" customHeight="1">
      <c r="A9" s="34" t="s">
        <v>211</v>
      </c>
      <c r="B9" s="20" t="s">
        <v>212</v>
      </c>
      <c r="C9" s="36" t="s">
        <v>139</v>
      </c>
      <c r="D9" s="20" t="s">
        <v>213</v>
      </c>
      <c r="E9" s="20" t="s">
        <v>193</v>
      </c>
      <c r="F9" s="20" t="s">
        <v>141</v>
      </c>
      <c r="G9" s="20" t="s">
        <v>214</v>
      </c>
      <c r="H9" s="33" t="s">
        <v>70</v>
      </c>
      <c r="I9" s="20" t="s">
        <v>215</v>
      </c>
      <c r="J9" s="34"/>
    </row>
    <row r="10" ht="42.0" customHeight="1">
      <c r="A10" s="23" t="s">
        <v>216</v>
      </c>
      <c r="B10" s="21" t="s">
        <v>217</v>
      </c>
      <c r="C10" s="43" t="s">
        <v>139</v>
      </c>
      <c r="D10" s="21" t="s">
        <v>213</v>
      </c>
      <c r="E10" s="21" t="s">
        <v>193</v>
      </c>
      <c r="F10" s="21" t="s">
        <v>141</v>
      </c>
      <c r="G10" s="21" t="s">
        <v>218</v>
      </c>
      <c r="H10" s="33" t="s">
        <v>70</v>
      </c>
      <c r="I10" s="21" t="s">
        <v>219</v>
      </c>
      <c r="J10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3:J3"/>
    <mergeCell ref="A8:J8"/>
  </mergeCells>
  <conditionalFormatting sqref="H4:H7 H9:H10">
    <cfRule type="containsText" dxfId="3" priority="1" operator="containsText" text="✅ PASS">
      <formula>NOT(ISERROR(SEARCH(("✅ PASS"),(H4))))</formula>
    </cfRule>
  </conditionalFormatting>
  <conditionalFormatting sqref="H4:H7 H9:H10">
    <cfRule type="containsText" dxfId="4" priority="2" operator="containsText" text="❌ FAIL">
      <formula>NOT(ISERROR(SEARCH(("❌ FAIL"),(H4))))</formula>
    </cfRule>
  </conditionalFormatting>
  <conditionalFormatting sqref="H4:H7 H9:H10">
    <cfRule type="containsText" dxfId="2" priority="3" operator="containsText" text="⏳ PENDING">
      <formula>NOT(ISERROR(SEARCH(("⏳ PENDING"),(H4))))</formula>
    </cfRule>
  </conditionalFormatting>
  <dataValidations>
    <dataValidation type="list" allowBlank="1" showErrorMessage="1" sqref="H4:H7 H9:H10">
      <formula1>"⏳ PENDIENTE,✅ PASS,❌ 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9.0"/>
    <col customWidth="1" min="4" max="4" width="42.0"/>
    <col customWidth="1" min="5" max="5" width="18.0"/>
    <col customWidth="1" min="6" max="6" width="55.0"/>
    <col customWidth="1" min="7" max="7" width="45.0"/>
    <col customWidth="1" min="8" max="8" width="16.0"/>
    <col customWidth="1" min="9" max="9" width="40.0"/>
    <col customWidth="1" min="10" max="10" width="14.0"/>
  </cols>
  <sheetData>
    <row r="1" ht="24.0" customHeight="1">
      <c r="A1" s="27" t="s">
        <v>220</v>
      </c>
      <c r="B1" s="28"/>
      <c r="C1" s="28"/>
      <c r="D1" s="28"/>
      <c r="E1" s="28"/>
      <c r="F1" s="28"/>
      <c r="G1" s="28"/>
      <c r="H1" s="28"/>
      <c r="I1" s="28"/>
      <c r="J1" s="28"/>
    </row>
    <row r="2" ht="21.75" customHeight="1">
      <c r="A2" s="22" t="s">
        <v>85</v>
      </c>
      <c r="B2" s="22" t="s">
        <v>86</v>
      </c>
      <c r="C2" s="22" t="s">
        <v>87</v>
      </c>
      <c r="D2" s="22" t="s">
        <v>88</v>
      </c>
      <c r="E2" s="22" t="s">
        <v>89</v>
      </c>
      <c r="F2" s="22" t="s">
        <v>26</v>
      </c>
      <c r="G2" s="22" t="s">
        <v>90</v>
      </c>
      <c r="H2" s="22" t="s">
        <v>91</v>
      </c>
      <c r="I2" s="22" t="s">
        <v>92</v>
      </c>
      <c r="J2" s="22" t="s">
        <v>93</v>
      </c>
    </row>
    <row r="3" ht="18.0" customHeight="1">
      <c r="A3" s="29" t="s">
        <v>221</v>
      </c>
      <c r="B3" s="30"/>
      <c r="C3" s="30"/>
      <c r="D3" s="30"/>
      <c r="E3" s="30"/>
      <c r="F3" s="30"/>
      <c r="G3" s="30"/>
      <c r="H3" s="30"/>
      <c r="I3" s="30"/>
      <c r="J3" s="31"/>
    </row>
    <row r="4" ht="42.0" customHeight="1">
      <c r="A4" s="23" t="s">
        <v>222</v>
      </c>
      <c r="B4" s="21" t="s">
        <v>223</v>
      </c>
      <c r="C4" s="32" t="s">
        <v>97</v>
      </c>
      <c r="D4" s="21" t="s">
        <v>224</v>
      </c>
      <c r="E4" s="21" t="s">
        <v>193</v>
      </c>
      <c r="F4" s="21" t="s">
        <v>225</v>
      </c>
      <c r="G4" s="21" t="s">
        <v>226</v>
      </c>
      <c r="H4" s="33" t="s">
        <v>70</v>
      </c>
      <c r="I4" s="21" t="s">
        <v>227</v>
      </c>
      <c r="J4" s="23"/>
    </row>
    <row r="5" ht="42.0" customHeight="1">
      <c r="A5" s="34" t="s">
        <v>228</v>
      </c>
      <c r="B5" s="20" t="s">
        <v>229</v>
      </c>
      <c r="C5" s="35" t="s">
        <v>97</v>
      </c>
      <c r="D5" s="20" t="s">
        <v>224</v>
      </c>
      <c r="E5" s="20" t="s">
        <v>193</v>
      </c>
      <c r="F5" s="20" t="s">
        <v>230</v>
      </c>
      <c r="G5" s="20" t="s">
        <v>226</v>
      </c>
      <c r="H5" s="33" t="s">
        <v>70</v>
      </c>
      <c r="I5" s="20" t="s">
        <v>231</v>
      </c>
      <c r="J5" s="34"/>
    </row>
    <row r="6" ht="42.0" customHeight="1">
      <c r="A6" s="23" t="s">
        <v>232</v>
      </c>
      <c r="B6" s="21" t="s">
        <v>233</v>
      </c>
      <c r="C6" s="32" t="s">
        <v>97</v>
      </c>
      <c r="D6" s="21" t="s">
        <v>224</v>
      </c>
      <c r="E6" s="21" t="s">
        <v>193</v>
      </c>
      <c r="F6" s="21" t="s">
        <v>234</v>
      </c>
      <c r="G6" s="21" t="s">
        <v>112</v>
      </c>
      <c r="H6" s="33" t="s">
        <v>70</v>
      </c>
      <c r="I6" s="21" t="s">
        <v>235</v>
      </c>
      <c r="J6" s="23"/>
    </row>
    <row r="7" ht="18.0" customHeight="1">
      <c r="A7" s="29" t="s">
        <v>236</v>
      </c>
      <c r="B7" s="30"/>
      <c r="C7" s="30"/>
      <c r="D7" s="30"/>
      <c r="E7" s="30"/>
      <c r="F7" s="30"/>
      <c r="G7" s="30"/>
      <c r="H7" s="30"/>
      <c r="I7" s="30"/>
      <c r="J7" s="31"/>
    </row>
    <row r="8" ht="42.0" customHeight="1">
      <c r="A8" s="23" t="s">
        <v>237</v>
      </c>
      <c r="B8" s="21" t="s">
        <v>238</v>
      </c>
      <c r="C8" s="43" t="s">
        <v>139</v>
      </c>
      <c r="D8" s="21" t="s">
        <v>224</v>
      </c>
      <c r="E8" s="21" t="s">
        <v>193</v>
      </c>
      <c r="F8" s="21" t="s">
        <v>141</v>
      </c>
      <c r="G8" s="21" t="s">
        <v>239</v>
      </c>
      <c r="H8" s="33" t="s">
        <v>70</v>
      </c>
      <c r="I8" s="21" t="s">
        <v>240</v>
      </c>
      <c r="J8" s="23"/>
    </row>
    <row r="9" ht="42.0" customHeight="1">
      <c r="A9" s="34" t="s">
        <v>241</v>
      </c>
      <c r="B9" s="20" t="s">
        <v>242</v>
      </c>
      <c r="C9" s="44" t="s">
        <v>206</v>
      </c>
      <c r="D9" s="20" t="s">
        <v>224</v>
      </c>
      <c r="E9" s="20" t="s">
        <v>193</v>
      </c>
      <c r="F9" s="20" t="s">
        <v>243</v>
      </c>
      <c r="G9" s="20" t="s">
        <v>244</v>
      </c>
      <c r="H9" s="33" t="s">
        <v>70</v>
      </c>
      <c r="I9" s="20" t="s">
        <v>245</v>
      </c>
      <c r="J9" s="34"/>
    </row>
    <row r="10" ht="42.0" customHeight="1">
      <c r="A10" s="23" t="s">
        <v>246</v>
      </c>
      <c r="B10" s="21" t="s">
        <v>247</v>
      </c>
      <c r="C10" s="45" t="s">
        <v>206</v>
      </c>
      <c r="D10" s="21" t="s">
        <v>224</v>
      </c>
      <c r="E10" s="21" t="s">
        <v>193</v>
      </c>
      <c r="F10" s="21" t="s">
        <v>248</v>
      </c>
      <c r="G10" s="21" t="s">
        <v>239</v>
      </c>
      <c r="H10" s="33" t="s">
        <v>70</v>
      </c>
      <c r="I10" s="21" t="s">
        <v>249</v>
      </c>
      <c r="J10" s="23"/>
    </row>
    <row r="11" ht="42.0" customHeight="1">
      <c r="A11" s="34" t="s">
        <v>250</v>
      </c>
      <c r="B11" s="20" t="s">
        <v>251</v>
      </c>
      <c r="C11" s="44" t="s">
        <v>206</v>
      </c>
      <c r="D11" s="20" t="s">
        <v>224</v>
      </c>
      <c r="E11" s="20" t="s">
        <v>193</v>
      </c>
      <c r="F11" s="20" t="s">
        <v>252</v>
      </c>
      <c r="G11" s="20" t="s">
        <v>253</v>
      </c>
      <c r="H11" s="33" t="s">
        <v>70</v>
      </c>
      <c r="I11" s="20" t="s">
        <v>254</v>
      </c>
      <c r="J11" s="34"/>
    </row>
    <row r="12" ht="42.0" customHeight="1">
      <c r="A12" s="23" t="s">
        <v>255</v>
      </c>
      <c r="B12" s="21" t="s">
        <v>256</v>
      </c>
      <c r="C12" s="43" t="s">
        <v>139</v>
      </c>
      <c r="D12" s="21" t="s">
        <v>224</v>
      </c>
      <c r="E12" s="21" t="s">
        <v>193</v>
      </c>
      <c r="F12" s="21" t="s">
        <v>141</v>
      </c>
      <c r="G12" s="21" t="s">
        <v>166</v>
      </c>
      <c r="H12" s="33" t="s">
        <v>70</v>
      </c>
      <c r="I12" s="21" t="s">
        <v>257</v>
      </c>
      <c r="J12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3:J3"/>
    <mergeCell ref="A7:J7"/>
  </mergeCells>
  <conditionalFormatting sqref="H4:H6 H8:H12">
    <cfRule type="containsText" dxfId="3" priority="1" operator="containsText" text="✅ PASS">
      <formula>NOT(ISERROR(SEARCH(("✅ PASS"),(H4))))</formula>
    </cfRule>
  </conditionalFormatting>
  <conditionalFormatting sqref="H4:H6 H8:H12">
    <cfRule type="containsText" dxfId="4" priority="2" operator="containsText" text="❌ FAIL">
      <formula>NOT(ISERROR(SEARCH(("❌ FAIL"),(H4))))</formula>
    </cfRule>
  </conditionalFormatting>
  <conditionalFormatting sqref="H4:H6 H8:H12">
    <cfRule type="containsText" dxfId="2" priority="3" operator="containsText" text="⏳ PENDING">
      <formula>NOT(ISERROR(SEARCH(("⏳ PENDING"),(H4))))</formula>
    </cfRule>
  </conditionalFormatting>
  <dataValidations>
    <dataValidation type="list" allowBlank="1" showErrorMessage="1" sqref="H4:H6 H8:H12">
      <formula1>"⏳ PENDIENTE,✅ PASS,❌ 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43"/>
    <col customWidth="1" min="2" max="2" width="38.0"/>
    <col customWidth="1" min="3" max="3" width="9.0"/>
    <col customWidth="1" min="4" max="4" width="42.14"/>
    <col customWidth="1" min="5" max="5" width="18.0"/>
    <col customWidth="1" min="6" max="6" width="55.0"/>
    <col customWidth="1" min="7" max="7" width="45.0"/>
    <col customWidth="1" min="8" max="8" width="16.0"/>
    <col customWidth="1" min="9" max="9" width="40.0"/>
    <col customWidth="1" min="10" max="10" width="14.0"/>
    <col customWidth="1" min="11" max="26" width="8.71"/>
  </cols>
  <sheetData>
    <row r="1" ht="24.0" customHeight="1">
      <c r="A1" s="27" t="s">
        <v>258</v>
      </c>
      <c r="B1" s="28"/>
      <c r="C1" s="28"/>
      <c r="D1" s="28"/>
      <c r="E1" s="28"/>
      <c r="F1" s="28"/>
      <c r="G1" s="28"/>
      <c r="H1" s="28"/>
      <c r="I1" s="28"/>
      <c r="J1" s="28"/>
    </row>
    <row r="2" ht="21.75" customHeight="1">
      <c r="A2" s="22" t="s">
        <v>85</v>
      </c>
      <c r="B2" s="22" t="s">
        <v>86</v>
      </c>
      <c r="C2" s="22" t="s">
        <v>87</v>
      </c>
      <c r="D2" s="22" t="s">
        <v>88</v>
      </c>
      <c r="E2" s="22" t="s">
        <v>89</v>
      </c>
      <c r="F2" s="22" t="s">
        <v>26</v>
      </c>
      <c r="G2" s="22" t="s">
        <v>90</v>
      </c>
      <c r="H2" s="22" t="s">
        <v>91</v>
      </c>
      <c r="I2" s="22" t="s">
        <v>92</v>
      </c>
      <c r="J2" s="22" t="s">
        <v>93</v>
      </c>
    </row>
    <row r="3" ht="18.0" customHeight="1">
      <c r="A3" s="29" t="s">
        <v>259</v>
      </c>
      <c r="B3" s="30"/>
      <c r="C3" s="30"/>
      <c r="D3" s="30"/>
      <c r="E3" s="30"/>
      <c r="F3" s="30"/>
      <c r="G3" s="30"/>
      <c r="H3" s="30"/>
      <c r="I3" s="30"/>
      <c r="J3" s="31"/>
    </row>
    <row r="4" ht="42.0" customHeight="1">
      <c r="A4" s="23" t="s">
        <v>260</v>
      </c>
      <c r="B4" s="21" t="s">
        <v>261</v>
      </c>
      <c r="C4" s="32" t="s">
        <v>97</v>
      </c>
      <c r="D4" s="21" t="s">
        <v>262</v>
      </c>
      <c r="E4" s="21" t="s">
        <v>193</v>
      </c>
      <c r="F4" s="21" t="s">
        <v>263</v>
      </c>
      <c r="G4" s="21" t="s">
        <v>264</v>
      </c>
      <c r="H4" s="33" t="s">
        <v>70</v>
      </c>
      <c r="I4" s="21" t="s">
        <v>265</v>
      </c>
      <c r="J4" s="23"/>
    </row>
    <row r="5" ht="42.0" customHeight="1">
      <c r="A5" s="34" t="s">
        <v>266</v>
      </c>
      <c r="B5" s="20" t="s">
        <v>267</v>
      </c>
      <c r="C5" s="35" t="s">
        <v>97</v>
      </c>
      <c r="D5" s="20" t="s">
        <v>262</v>
      </c>
      <c r="E5" s="20" t="s">
        <v>193</v>
      </c>
      <c r="F5" s="20" t="s">
        <v>268</v>
      </c>
      <c r="G5" s="20" t="s">
        <v>269</v>
      </c>
      <c r="H5" s="33" t="s">
        <v>70</v>
      </c>
      <c r="I5" s="20" t="s">
        <v>270</v>
      </c>
      <c r="J5" s="34"/>
    </row>
    <row r="6" ht="42.0" customHeight="1">
      <c r="A6" s="23" t="s">
        <v>271</v>
      </c>
      <c r="B6" s="21" t="s">
        <v>272</v>
      </c>
      <c r="C6" s="32" t="s">
        <v>97</v>
      </c>
      <c r="D6" s="21" t="s">
        <v>262</v>
      </c>
      <c r="E6" s="21" t="s">
        <v>193</v>
      </c>
      <c r="F6" s="21" t="s">
        <v>273</v>
      </c>
      <c r="G6" s="21" t="s">
        <v>117</v>
      </c>
      <c r="H6" s="33" t="s">
        <v>70</v>
      </c>
      <c r="I6" s="21" t="s">
        <v>274</v>
      </c>
      <c r="J6" s="23"/>
    </row>
    <row r="7" ht="18.0" customHeight="1">
      <c r="A7" s="29" t="s">
        <v>275</v>
      </c>
      <c r="B7" s="30"/>
      <c r="C7" s="30"/>
      <c r="D7" s="30"/>
      <c r="E7" s="30"/>
      <c r="F7" s="30"/>
      <c r="G7" s="30"/>
      <c r="H7" s="30"/>
      <c r="I7" s="30"/>
      <c r="J7" s="31"/>
    </row>
    <row r="8" ht="42.0" customHeight="1">
      <c r="A8" s="23" t="s">
        <v>276</v>
      </c>
      <c r="B8" s="46" t="s">
        <v>277</v>
      </c>
      <c r="C8" s="43" t="s">
        <v>139</v>
      </c>
      <c r="D8" s="46" t="s">
        <v>262</v>
      </c>
      <c r="E8" s="46" t="s">
        <v>193</v>
      </c>
      <c r="F8" s="46" t="s">
        <v>141</v>
      </c>
      <c r="G8" s="46" t="s">
        <v>278</v>
      </c>
      <c r="H8" s="47" t="s">
        <v>70</v>
      </c>
      <c r="I8" s="46" t="s">
        <v>279</v>
      </c>
      <c r="J8" s="48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42.0" customHeight="1">
      <c r="A9" s="50" t="s">
        <v>280</v>
      </c>
      <c r="B9" s="51" t="s">
        <v>281</v>
      </c>
      <c r="C9" s="52" t="s">
        <v>139</v>
      </c>
      <c r="D9" s="51" t="s">
        <v>282</v>
      </c>
      <c r="E9" s="51" t="s">
        <v>193</v>
      </c>
      <c r="F9" s="51" t="s">
        <v>141</v>
      </c>
      <c r="G9" s="51" t="s">
        <v>283</v>
      </c>
      <c r="H9" s="33" t="s">
        <v>70</v>
      </c>
      <c r="I9" s="51" t="s">
        <v>284</v>
      </c>
      <c r="J9" s="23"/>
    </row>
    <row r="10" ht="42.0" customHeight="1">
      <c r="A10" s="23" t="s">
        <v>285</v>
      </c>
      <c r="B10" s="21" t="s">
        <v>286</v>
      </c>
      <c r="C10" s="43" t="s">
        <v>139</v>
      </c>
      <c r="D10" s="21" t="s">
        <v>287</v>
      </c>
      <c r="E10" s="21" t="s">
        <v>193</v>
      </c>
      <c r="F10" s="21" t="str">
        <f>Variables!C8</f>
        <v>c7cf918d-7e04-4104-9790-fa5bb9d3756d</v>
      </c>
      <c r="G10" s="21" t="s">
        <v>288</v>
      </c>
      <c r="H10" s="33" t="s">
        <v>70</v>
      </c>
      <c r="I10" s="21" t="s">
        <v>289</v>
      </c>
      <c r="J10" s="34"/>
    </row>
    <row r="11" ht="42.0" customHeight="1">
      <c r="A11" s="34" t="s">
        <v>290</v>
      </c>
      <c r="B11" s="20" t="s">
        <v>291</v>
      </c>
      <c r="C11" s="36" t="s">
        <v>139</v>
      </c>
      <c r="D11" s="20" t="s">
        <v>292</v>
      </c>
      <c r="E11" s="20" t="s">
        <v>193</v>
      </c>
      <c r="F11" s="20" t="s">
        <v>141</v>
      </c>
      <c r="G11" s="20" t="s">
        <v>293</v>
      </c>
      <c r="H11" s="33" t="s">
        <v>70</v>
      </c>
      <c r="I11" s="20" t="s">
        <v>294</v>
      </c>
      <c r="J11" s="34"/>
    </row>
    <row r="12" ht="42.0" customHeight="1">
      <c r="A12" s="23" t="s">
        <v>295</v>
      </c>
      <c r="B12" s="46" t="s">
        <v>296</v>
      </c>
      <c r="C12" s="43" t="s">
        <v>139</v>
      </c>
      <c r="D12" s="46" t="s">
        <v>297</v>
      </c>
      <c r="E12" s="46" t="s">
        <v>193</v>
      </c>
      <c r="F12" s="21" t="str">
        <f>Variables!C8</f>
        <v>c7cf918d-7e04-4104-9790-fa5bb9d3756d</v>
      </c>
      <c r="G12" s="46" t="s">
        <v>298</v>
      </c>
      <c r="H12" s="47" t="s">
        <v>70</v>
      </c>
      <c r="I12" s="46" t="s">
        <v>299</v>
      </c>
      <c r="J12" s="48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42.0" customHeight="1">
      <c r="A13" s="34" t="s">
        <v>300</v>
      </c>
      <c r="B13" s="53" t="s">
        <v>301</v>
      </c>
      <c r="C13" s="36" t="s">
        <v>139</v>
      </c>
      <c r="D13" s="53" t="s">
        <v>302</v>
      </c>
      <c r="E13" s="53" t="s">
        <v>193</v>
      </c>
      <c r="F13" s="53" t="s">
        <v>303</v>
      </c>
      <c r="G13" s="53" t="s">
        <v>304</v>
      </c>
      <c r="H13" s="47" t="s">
        <v>70</v>
      </c>
      <c r="I13" s="53" t="s">
        <v>305</v>
      </c>
      <c r="J13" s="48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42.0" customHeight="1">
      <c r="A14" s="23" t="s">
        <v>306</v>
      </c>
      <c r="B14" s="46" t="s">
        <v>307</v>
      </c>
      <c r="C14" s="43" t="s">
        <v>139</v>
      </c>
      <c r="D14" s="46" t="s">
        <v>308</v>
      </c>
      <c r="E14" s="46" t="s">
        <v>193</v>
      </c>
      <c r="F14" s="46" t="s">
        <v>141</v>
      </c>
      <c r="G14" s="46" t="s">
        <v>293</v>
      </c>
      <c r="H14" s="47" t="s">
        <v>70</v>
      </c>
      <c r="I14" s="46" t="s">
        <v>309</v>
      </c>
      <c r="J14" s="54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42.0" customHeight="1">
      <c r="A15" s="34" t="s">
        <v>310</v>
      </c>
      <c r="B15" s="53" t="s">
        <v>311</v>
      </c>
      <c r="C15" s="36" t="s">
        <v>139</v>
      </c>
      <c r="D15" s="53" t="s">
        <v>287</v>
      </c>
      <c r="E15" s="53" t="s">
        <v>193</v>
      </c>
      <c r="F15" s="53" t="str">
        <f>Variables!C8</f>
        <v>c7cf918d-7e04-4104-9790-fa5bb9d3756d</v>
      </c>
      <c r="G15" s="53" t="s">
        <v>312</v>
      </c>
      <c r="H15" s="47" t="s">
        <v>70</v>
      </c>
      <c r="I15" s="53" t="s">
        <v>219</v>
      </c>
      <c r="J15" s="48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8.0" customHeight="1">
      <c r="A16" s="29" t="s">
        <v>313</v>
      </c>
      <c r="B16" s="30"/>
      <c r="C16" s="30"/>
      <c r="D16" s="30"/>
      <c r="E16" s="30"/>
      <c r="F16" s="30"/>
      <c r="G16" s="30"/>
      <c r="H16" s="30"/>
      <c r="I16" s="30"/>
      <c r="J16" s="31"/>
    </row>
    <row r="17" ht="42.0" customHeight="1">
      <c r="A17" s="34" t="s">
        <v>314</v>
      </c>
      <c r="B17" s="20" t="s">
        <v>315</v>
      </c>
      <c r="C17" s="44" t="s">
        <v>206</v>
      </c>
      <c r="D17" s="20" t="s">
        <v>316</v>
      </c>
      <c r="E17" s="20" t="s">
        <v>193</v>
      </c>
      <c r="F17" s="20" t="str">
        <f>Variables!C8 &amp; ", {""title"":""Compra en supermercado — URGENTE""}"</f>
        <v>c7cf918d-7e04-4104-9790-fa5bb9d3756d, {"title":"Compra en supermercado — URGENTE"}</v>
      </c>
      <c r="G17" s="20" t="s">
        <v>317</v>
      </c>
      <c r="H17" s="33" t="s">
        <v>70</v>
      </c>
      <c r="I17" s="20" t="s">
        <v>318</v>
      </c>
      <c r="J17" s="34"/>
    </row>
    <row r="18" ht="42.0" customHeight="1">
      <c r="A18" s="23" t="s">
        <v>319</v>
      </c>
      <c r="B18" s="21" t="s">
        <v>320</v>
      </c>
      <c r="C18" s="45" t="s">
        <v>206</v>
      </c>
      <c r="D18" s="21" t="s">
        <v>316</v>
      </c>
      <c r="E18" s="21" t="s">
        <v>193</v>
      </c>
      <c r="F18" s="21" t="s">
        <v>321</v>
      </c>
      <c r="G18" s="21" t="s">
        <v>218</v>
      </c>
      <c r="H18" s="33" t="s">
        <v>70</v>
      </c>
      <c r="I18" s="53" t="s">
        <v>219</v>
      </c>
      <c r="J18" s="23"/>
    </row>
    <row r="19" ht="18.0" customHeight="1">
      <c r="A19" s="29" t="s">
        <v>322</v>
      </c>
      <c r="B19" s="30"/>
      <c r="C19" s="30"/>
      <c r="D19" s="30"/>
      <c r="E19" s="30"/>
      <c r="F19" s="30"/>
      <c r="G19" s="30"/>
      <c r="H19" s="30"/>
      <c r="I19" s="30"/>
      <c r="J19" s="31"/>
    </row>
    <row r="20" ht="42.0" customHeight="1">
      <c r="A20" s="23" t="s">
        <v>323</v>
      </c>
      <c r="B20" s="21" t="s">
        <v>324</v>
      </c>
      <c r="C20" s="32" t="s">
        <v>97</v>
      </c>
      <c r="D20" s="21" t="s">
        <v>325</v>
      </c>
      <c r="E20" s="21" t="s">
        <v>193</v>
      </c>
      <c r="F20" s="21" t="s">
        <v>141</v>
      </c>
      <c r="G20" s="21" t="s">
        <v>326</v>
      </c>
      <c r="H20" s="33" t="s">
        <v>70</v>
      </c>
      <c r="I20" s="21" t="s">
        <v>327</v>
      </c>
      <c r="J20" s="23"/>
    </row>
    <row r="21" ht="42.0" customHeight="1">
      <c r="A21" s="34" t="s">
        <v>328</v>
      </c>
      <c r="B21" s="20" t="s">
        <v>329</v>
      </c>
      <c r="C21" s="55" t="s">
        <v>330</v>
      </c>
      <c r="D21" s="20" t="s">
        <v>331</v>
      </c>
      <c r="E21" s="20" t="s">
        <v>193</v>
      </c>
      <c r="F21" s="20" t="s">
        <v>141</v>
      </c>
      <c r="G21" s="20" t="s">
        <v>332</v>
      </c>
      <c r="H21" s="33" t="s">
        <v>70</v>
      </c>
      <c r="I21" s="20" t="s">
        <v>333</v>
      </c>
      <c r="J21" s="3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3:J3"/>
    <mergeCell ref="A7:J7"/>
    <mergeCell ref="A16:J16"/>
    <mergeCell ref="A19:J19"/>
  </mergeCells>
  <conditionalFormatting sqref="H4:H6 H8:H15 H17:H18 H20:H21">
    <cfRule type="containsText" dxfId="3" priority="1" operator="containsText" text="✅ PASS">
      <formula>NOT(ISERROR(SEARCH(("✅ PASS"),(H4))))</formula>
    </cfRule>
  </conditionalFormatting>
  <conditionalFormatting sqref="H4:H6 H8:H15 H17:H18 H20:H21">
    <cfRule type="containsText" dxfId="4" priority="2" operator="containsText" text="❌ FAIL">
      <formula>NOT(ISERROR(SEARCH(("❌ FAIL"),(H4))))</formula>
    </cfRule>
  </conditionalFormatting>
  <conditionalFormatting sqref="H4:H6 H8:H15 H17:H18 H20:H21">
    <cfRule type="containsText" dxfId="2" priority="3" operator="containsText" text="⏳ PENDING">
      <formula>NOT(ISERROR(SEARCH(("⏳ PENDING"),(H4))))</formula>
    </cfRule>
  </conditionalFormatting>
  <dataValidations>
    <dataValidation type="list" allowBlank="1" showErrorMessage="1" sqref="H4:H6 H8:H15 H17:H18 H20:H21">
      <formula1>"⏳ PENDIENTE,✅ PASS,❌ 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9.0"/>
    <col customWidth="1" min="4" max="4" width="42.0"/>
    <col customWidth="1" min="5" max="5" width="18.0"/>
    <col customWidth="1" min="6" max="6" width="55.0"/>
    <col customWidth="1" min="7" max="7" width="45.0"/>
    <col customWidth="1" min="8" max="8" width="16.0"/>
    <col customWidth="1" min="9" max="9" width="40.0"/>
    <col customWidth="1" min="10" max="10" width="14.0"/>
  </cols>
  <sheetData>
    <row r="1" ht="24.0" customHeight="1">
      <c r="A1" s="27" t="s">
        <v>334</v>
      </c>
      <c r="B1" s="28"/>
      <c r="C1" s="28"/>
      <c r="D1" s="28"/>
      <c r="E1" s="28"/>
      <c r="F1" s="28"/>
      <c r="G1" s="28"/>
      <c r="H1" s="28"/>
      <c r="I1" s="28"/>
      <c r="J1" s="28"/>
    </row>
    <row r="2" ht="21.75" customHeight="1">
      <c r="A2" s="22" t="s">
        <v>85</v>
      </c>
      <c r="B2" s="22" t="s">
        <v>86</v>
      </c>
      <c r="C2" s="22" t="s">
        <v>87</v>
      </c>
      <c r="D2" s="22" t="s">
        <v>88</v>
      </c>
      <c r="E2" s="22" t="s">
        <v>89</v>
      </c>
      <c r="F2" s="22" t="s">
        <v>26</v>
      </c>
      <c r="G2" s="22" t="s">
        <v>90</v>
      </c>
      <c r="H2" s="22" t="s">
        <v>91</v>
      </c>
      <c r="I2" s="22" t="s">
        <v>92</v>
      </c>
      <c r="J2" s="22" t="s">
        <v>93</v>
      </c>
    </row>
    <row r="3" ht="18.0" customHeight="1">
      <c r="A3" s="29" t="s">
        <v>259</v>
      </c>
      <c r="B3" s="30"/>
      <c r="C3" s="30"/>
      <c r="D3" s="30"/>
      <c r="E3" s="30"/>
      <c r="F3" s="30"/>
      <c r="G3" s="30"/>
      <c r="H3" s="30"/>
      <c r="I3" s="30"/>
      <c r="J3" s="31"/>
    </row>
    <row r="4" ht="42.0" customHeight="1">
      <c r="A4" s="23" t="s">
        <v>335</v>
      </c>
      <c r="B4" s="21" t="s">
        <v>336</v>
      </c>
      <c r="C4" s="32" t="s">
        <v>97</v>
      </c>
      <c r="D4" s="21" t="s">
        <v>337</v>
      </c>
      <c r="E4" s="21" t="s">
        <v>193</v>
      </c>
      <c r="F4" s="21" t="s">
        <v>338</v>
      </c>
      <c r="G4" s="21" t="s">
        <v>339</v>
      </c>
      <c r="H4" s="33" t="s">
        <v>70</v>
      </c>
      <c r="I4" s="21" t="s">
        <v>340</v>
      </c>
      <c r="J4" s="23"/>
    </row>
    <row r="5" ht="42.0" customHeight="1">
      <c r="A5" s="34" t="s">
        <v>341</v>
      </c>
      <c r="B5" s="20" t="s">
        <v>342</v>
      </c>
      <c r="C5" s="35" t="s">
        <v>97</v>
      </c>
      <c r="D5" s="20" t="s">
        <v>337</v>
      </c>
      <c r="E5" s="20" t="s">
        <v>193</v>
      </c>
      <c r="F5" s="20" t="s">
        <v>343</v>
      </c>
      <c r="G5" s="20" t="s">
        <v>344</v>
      </c>
      <c r="H5" s="33" t="s">
        <v>70</v>
      </c>
      <c r="I5" s="20" t="s">
        <v>345</v>
      </c>
      <c r="J5" s="34"/>
    </row>
    <row r="6" ht="18.0" customHeight="1">
      <c r="A6" s="29" t="s">
        <v>275</v>
      </c>
      <c r="B6" s="30"/>
      <c r="C6" s="30"/>
      <c r="D6" s="30"/>
      <c r="E6" s="30"/>
      <c r="F6" s="30"/>
      <c r="G6" s="30"/>
      <c r="H6" s="30"/>
      <c r="I6" s="30"/>
      <c r="J6" s="31"/>
    </row>
    <row r="7" ht="42.0" customHeight="1">
      <c r="A7" s="34" t="s">
        <v>346</v>
      </c>
      <c r="B7" s="20" t="s">
        <v>347</v>
      </c>
      <c r="C7" s="36" t="s">
        <v>139</v>
      </c>
      <c r="D7" s="20" t="s">
        <v>348</v>
      </c>
      <c r="E7" s="20" t="s">
        <v>193</v>
      </c>
      <c r="F7" s="20" t="s">
        <v>141</v>
      </c>
      <c r="G7" s="20" t="s">
        <v>349</v>
      </c>
      <c r="H7" s="33" t="s">
        <v>70</v>
      </c>
      <c r="I7" s="20" t="s">
        <v>350</v>
      </c>
      <c r="J7" s="34"/>
    </row>
    <row r="8" ht="42.0" customHeight="1">
      <c r="A8" s="23" t="s">
        <v>351</v>
      </c>
      <c r="B8" s="21" t="s">
        <v>352</v>
      </c>
      <c r="C8" s="43" t="s">
        <v>139</v>
      </c>
      <c r="D8" s="21" t="s">
        <v>353</v>
      </c>
      <c r="E8" s="21" t="s">
        <v>193</v>
      </c>
      <c r="F8" s="21" t="str">
        <f>Variables!C10</f>
        <v>4a2c7d53-9a34-4c40-9e8f-c8972db67211</v>
      </c>
      <c r="G8" s="21" t="s">
        <v>354</v>
      </c>
      <c r="H8" s="33" t="s">
        <v>70</v>
      </c>
      <c r="I8" s="21" t="s">
        <v>355</v>
      </c>
      <c r="J8" s="23"/>
    </row>
    <row r="9" ht="42.0" customHeight="1">
      <c r="A9" s="34" t="s">
        <v>356</v>
      </c>
      <c r="B9" s="20" t="s">
        <v>357</v>
      </c>
      <c r="C9" s="36" t="s">
        <v>139</v>
      </c>
      <c r="D9" s="20" t="s">
        <v>358</v>
      </c>
      <c r="E9" s="20" t="s">
        <v>193</v>
      </c>
      <c r="F9" s="20" t="s">
        <v>141</v>
      </c>
      <c r="G9" s="20" t="s">
        <v>359</v>
      </c>
      <c r="H9" s="33" t="s">
        <v>70</v>
      </c>
      <c r="I9" s="20" t="s">
        <v>360</v>
      </c>
      <c r="J9" s="34"/>
    </row>
    <row r="10" ht="18.0" customHeight="1">
      <c r="A10" s="29" t="s">
        <v>361</v>
      </c>
      <c r="B10" s="30"/>
      <c r="C10" s="30"/>
      <c r="D10" s="30"/>
      <c r="E10" s="30"/>
      <c r="F10" s="30"/>
      <c r="G10" s="30"/>
      <c r="H10" s="30"/>
      <c r="I10" s="30"/>
      <c r="J10" s="31"/>
    </row>
    <row r="11" ht="42.0" customHeight="1">
      <c r="A11" s="34" t="s">
        <v>362</v>
      </c>
      <c r="B11" s="20" t="s">
        <v>363</v>
      </c>
      <c r="C11" s="35" t="s">
        <v>97</v>
      </c>
      <c r="D11" s="20" t="s">
        <v>364</v>
      </c>
      <c r="E11" s="20" t="s">
        <v>193</v>
      </c>
      <c r="F11" s="20" t="str">
        <f>Variables!C11</f>
        <v>8396e74a-7bc5-4793-b7c4-bd79b3b7932b</v>
      </c>
      <c r="G11" s="20" t="s">
        <v>365</v>
      </c>
      <c r="H11" s="33" t="s">
        <v>70</v>
      </c>
      <c r="I11" s="20" t="s">
        <v>366</v>
      </c>
      <c r="J11" s="34"/>
    </row>
    <row r="12" ht="42.0" customHeight="1">
      <c r="A12" s="23" t="s">
        <v>367</v>
      </c>
      <c r="B12" s="21" t="s">
        <v>368</v>
      </c>
      <c r="C12" s="32" t="s">
        <v>97</v>
      </c>
      <c r="D12" s="21" t="s">
        <v>369</v>
      </c>
      <c r="E12" s="21" t="s">
        <v>193</v>
      </c>
      <c r="F12" s="21" t="str">
        <f>Variables!C11</f>
        <v>8396e74a-7bc5-4793-b7c4-bd79b3b7932b</v>
      </c>
      <c r="G12" s="21" t="s">
        <v>370</v>
      </c>
      <c r="H12" s="33" t="s">
        <v>70</v>
      </c>
      <c r="I12" s="21" t="s">
        <v>371</v>
      </c>
      <c r="J12" s="23"/>
    </row>
    <row r="13" ht="42.0" customHeight="1">
      <c r="A13" s="34" t="s">
        <v>372</v>
      </c>
      <c r="B13" s="20" t="s">
        <v>373</v>
      </c>
      <c r="C13" s="35" t="s">
        <v>97</v>
      </c>
      <c r="D13" s="20" t="s">
        <v>374</v>
      </c>
      <c r="E13" s="20" t="s">
        <v>193</v>
      </c>
      <c r="F13" s="20" t="str">
        <f>Variables!C11</f>
        <v>8396e74a-7bc5-4793-b7c4-bd79b3b7932b</v>
      </c>
      <c r="G13" s="20" t="s">
        <v>375</v>
      </c>
      <c r="H13" s="33" t="s">
        <v>70</v>
      </c>
      <c r="I13" s="20" t="s">
        <v>376</v>
      </c>
      <c r="J13" s="34"/>
    </row>
    <row r="14" ht="42.0" customHeight="1">
      <c r="A14" s="23" t="s">
        <v>377</v>
      </c>
      <c r="B14" s="21" t="s">
        <v>378</v>
      </c>
      <c r="C14" s="32" t="s">
        <v>97</v>
      </c>
      <c r="D14" s="21" t="s">
        <v>379</v>
      </c>
      <c r="E14" s="21" t="s">
        <v>193</v>
      </c>
      <c r="F14" s="21" t="str">
        <f>Variables!C11</f>
        <v>8396e74a-7bc5-4793-b7c4-bd79b3b7932b</v>
      </c>
      <c r="G14" s="21" t="s">
        <v>380</v>
      </c>
      <c r="H14" s="33" t="s">
        <v>70</v>
      </c>
      <c r="I14" s="21" t="s">
        <v>381</v>
      </c>
      <c r="J14" s="23"/>
    </row>
    <row r="15" ht="42.0" customHeight="1">
      <c r="A15" s="34" t="s">
        <v>382</v>
      </c>
      <c r="B15" s="20" t="s">
        <v>383</v>
      </c>
      <c r="C15" s="35" t="s">
        <v>97</v>
      </c>
      <c r="D15" s="20" t="s">
        <v>384</v>
      </c>
      <c r="E15" s="20" t="s">
        <v>193</v>
      </c>
      <c r="F15" s="20" t="str">
        <f>Variables!C10</f>
        <v>4a2c7d53-9a34-4c40-9e8f-c8972db67211</v>
      </c>
      <c r="G15" s="20" t="s">
        <v>326</v>
      </c>
      <c r="H15" s="33" t="s">
        <v>70</v>
      </c>
      <c r="I15" s="20" t="s">
        <v>385</v>
      </c>
      <c r="J15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3:J3"/>
    <mergeCell ref="A6:J6"/>
    <mergeCell ref="A10:J10"/>
  </mergeCells>
  <conditionalFormatting sqref="H4:H5 H7:H9 H11:H15">
    <cfRule type="containsText" dxfId="3" priority="1" operator="containsText" text="✅ PASS">
      <formula>NOT(ISERROR(SEARCH(("✅ PASS"),(H4))))</formula>
    </cfRule>
  </conditionalFormatting>
  <conditionalFormatting sqref="H4:H5 H7:H9 H11:H15">
    <cfRule type="containsText" dxfId="4" priority="2" operator="containsText" text="❌ FAIL">
      <formula>NOT(ISERROR(SEARCH(("❌ FAIL"),(H4))))</formula>
    </cfRule>
  </conditionalFormatting>
  <conditionalFormatting sqref="H4:H5 H7:H9 H11:H15">
    <cfRule type="containsText" dxfId="2" priority="3" operator="containsText" text="⏳ PENDING">
      <formula>NOT(ISERROR(SEARCH(("⏳ PENDING"),(H4))))</formula>
    </cfRule>
  </conditionalFormatting>
  <dataValidations>
    <dataValidation type="list" allowBlank="1" showErrorMessage="1" sqref="H4:H5 H7:H9 H11:H15">
      <formula1>"⏳ PENDIENTE,✅ PASS,❌ 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9.0"/>
    <col customWidth="1" min="4" max="4" width="42.0"/>
    <col customWidth="1" min="5" max="5" width="18.0"/>
    <col customWidth="1" min="6" max="6" width="55.0"/>
    <col customWidth="1" min="7" max="7" width="45.0"/>
    <col customWidth="1" min="8" max="8" width="16.0"/>
    <col customWidth="1" min="9" max="9" width="40.0"/>
    <col customWidth="1" min="10" max="10" width="14.0"/>
  </cols>
  <sheetData>
    <row r="1" ht="24.0" customHeight="1">
      <c r="A1" s="27" t="s">
        <v>386</v>
      </c>
      <c r="B1" s="28"/>
      <c r="C1" s="28"/>
      <c r="D1" s="28"/>
      <c r="E1" s="28"/>
      <c r="F1" s="28"/>
      <c r="G1" s="28"/>
      <c r="H1" s="28"/>
      <c r="I1" s="28"/>
      <c r="J1" s="28"/>
    </row>
    <row r="2" ht="21.75" customHeight="1">
      <c r="A2" s="22" t="s">
        <v>85</v>
      </c>
      <c r="B2" s="22" t="s">
        <v>86</v>
      </c>
      <c r="C2" s="22" t="s">
        <v>87</v>
      </c>
      <c r="D2" s="22" t="s">
        <v>88</v>
      </c>
      <c r="E2" s="22" t="s">
        <v>89</v>
      </c>
      <c r="F2" s="22" t="s">
        <v>26</v>
      </c>
      <c r="G2" s="22" t="s">
        <v>90</v>
      </c>
      <c r="H2" s="22" t="s">
        <v>91</v>
      </c>
      <c r="I2" s="22" t="s">
        <v>92</v>
      </c>
      <c r="J2" s="22" t="s">
        <v>93</v>
      </c>
    </row>
    <row r="3" ht="18.0" customHeight="1">
      <c r="A3" s="29" t="s">
        <v>387</v>
      </c>
      <c r="B3" s="30"/>
      <c r="C3" s="30"/>
      <c r="D3" s="30"/>
      <c r="E3" s="30"/>
      <c r="F3" s="30"/>
      <c r="G3" s="30"/>
      <c r="H3" s="30"/>
      <c r="I3" s="30"/>
      <c r="J3" s="31"/>
    </row>
    <row r="4" ht="42.0" customHeight="1">
      <c r="A4" s="23" t="s">
        <v>388</v>
      </c>
      <c r="B4" s="21" t="s">
        <v>389</v>
      </c>
      <c r="C4" s="43" t="s">
        <v>139</v>
      </c>
      <c r="D4" s="21" t="s">
        <v>390</v>
      </c>
      <c r="E4" s="21" t="s">
        <v>193</v>
      </c>
      <c r="F4" s="21" t="s">
        <v>141</v>
      </c>
      <c r="G4" s="21" t="s">
        <v>391</v>
      </c>
      <c r="H4" s="33" t="s">
        <v>70</v>
      </c>
      <c r="I4" s="21" t="s">
        <v>392</v>
      </c>
      <c r="J4" s="23"/>
    </row>
    <row r="5" ht="42.0" customHeight="1">
      <c r="A5" s="34" t="s">
        <v>393</v>
      </c>
      <c r="B5" s="20" t="s">
        <v>394</v>
      </c>
      <c r="C5" s="36" t="s">
        <v>139</v>
      </c>
      <c r="D5" s="20" t="s">
        <v>390</v>
      </c>
      <c r="E5" s="20" t="s">
        <v>193</v>
      </c>
      <c r="F5" s="20" t="s">
        <v>141</v>
      </c>
      <c r="G5" s="20" t="s">
        <v>395</v>
      </c>
      <c r="H5" s="33" t="s">
        <v>70</v>
      </c>
      <c r="I5" s="20" t="s">
        <v>396</v>
      </c>
      <c r="J5" s="34"/>
    </row>
    <row r="6" ht="18.0" customHeight="1">
      <c r="A6" s="29" t="s">
        <v>397</v>
      </c>
      <c r="B6" s="30"/>
      <c r="C6" s="30"/>
      <c r="D6" s="30"/>
      <c r="E6" s="30"/>
      <c r="F6" s="30"/>
      <c r="G6" s="30"/>
      <c r="H6" s="30"/>
      <c r="I6" s="30"/>
      <c r="J6" s="31"/>
    </row>
    <row r="7" ht="42.0" customHeight="1">
      <c r="A7" s="23" t="s">
        <v>398</v>
      </c>
      <c r="B7" s="21" t="s">
        <v>399</v>
      </c>
      <c r="C7" s="32" t="s">
        <v>97</v>
      </c>
      <c r="D7" s="21" t="s">
        <v>400</v>
      </c>
      <c r="E7" s="21" t="s">
        <v>193</v>
      </c>
      <c r="F7" s="21" t="str">
        <f>Variables!C12</f>
        <v>967092f8-fb6a-4db2-af08-d77fa4540610</v>
      </c>
      <c r="G7" s="21" t="s">
        <v>401</v>
      </c>
      <c r="H7" s="33" t="s">
        <v>70</v>
      </c>
      <c r="I7" s="21" t="s">
        <v>402</v>
      </c>
      <c r="J7" s="23"/>
    </row>
    <row r="8" ht="42.0" customHeight="1">
      <c r="A8" s="34" t="s">
        <v>403</v>
      </c>
      <c r="B8" s="20" t="s">
        <v>404</v>
      </c>
      <c r="C8" s="35" t="s">
        <v>97</v>
      </c>
      <c r="D8" s="20" t="s">
        <v>405</v>
      </c>
      <c r="E8" s="20" t="s">
        <v>193</v>
      </c>
      <c r="F8" s="20" t="str">
        <f>Variables!C13</f>
        <v>5df1bedc-a8b4-4cb2-9a9a-7b3d60252582</v>
      </c>
      <c r="G8" s="20" t="s">
        <v>406</v>
      </c>
      <c r="H8" s="33" t="s">
        <v>70</v>
      </c>
      <c r="I8" s="20" t="s">
        <v>407</v>
      </c>
      <c r="J8" s="34"/>
    </row>
    <row r="9" ht="42.0" customHeight="1">
      <c r="A9" s="23" t="s">
        <v>408</v>
      </c>
      <c r="B9" s="21" t="s">
        <v>409</v>
      </c>
      <c r="C9" s="32" t="s">
        <v>97</v>
      </c>
      <c r="D9" s="21" t="s">
        <v>405</v>
      </c>
      <c r="E9" s="21" t="s">
        <v>193</v>
      </c>
      <c r="F9" s="21" t="str">
        <f>Variables!C13</f>
        <v>5df1bedc-a8b4-4cb2-9a9a-7b3d60252582</v>
      </c>
      <c r="G9" s="21" t="s">
        <v>410</v>
      </c>
      <c r="H9" s="33" t="s">
        <v>70</v>
      </c>
      <c r="I9" s="21"/>
      <c r="J9" s="23"/>
    </row>
    <row r="10" ht="42.0" customHeight="1">
      <c r="A10" s="34" t="s">
        <v>411</v>
      </c>
      <c r="B10" s="20" t="s">
        <v>412</v>
      </c>
      <c r="C10" s="35" t="s">
        <v>97</v>
      </c>
      <c r="D10" s="20" t="s">
        <v>405</v>
      </c>
      <c r="E10" s="20" t="s">
        <v>193</v>
      </c>
      <c r="F10" s="20" t="str">
        <f>Variables!C12</f>
        <v>967092f8-fb6a-4db2-af08-d77fa4540610</v>
      </c>
      <c r="G10" s="20" t="s">
        <v>410</v>
      </c>
      <c r="H10" s="33" t="s">
        <v>70</v>
      </c>
      <c r="I10" s="20"/>
      <c r="J10" s="34"/>
    </row>
    <row r="11" ht="18.0" customHeight="1">
      <c r="A11" s="29" t="s">
        <v>413</v>
      </c>
      <c r="B11" s="30"/>
      <c r="C11" s="30"/>
      <c r="D11" s="30"/>
      <c r="E11" s="30"/>
      <c r="F11" s="30"/>
      <c r="G11" s="30"/>
      <c r="H11" s="30"/>
      <c r="I11" s="30"/>
      <c r="J11" s="31"/>
    </row>
    <row r="12" ht="42.0" customHeight="1">
      <c r="A12" s="23" t="s">
        <v>414</v>
      </c>
      <c r="B12" s="21" t="s">
        <v>415</v>
      </c>
      <c r="C12" s="43" t="s">
        <v>139</v>
      </c>
      <c r="D12" s="21" t="s">
        <v>416</v>
      </c>
      <c r="E12" s="21" t="s">
        <v>193</v>
      </c>
      <c r="F12" s="21" t="str">
        <f>Variables!C8</f>
        <v>c7cf918d-7e04-4104-9790-fa5bb9d3756d</v>
      </c>
      <c r="G12" s="21" t="s">
        <v>417</v>
      </c>
      <c r="H12" s="33" t="s">
        <v>70</v>
      </c>
      <c r="I12" s="21"/>
      <c r="J12" s="23"/>
    </row>
    <row r="13" ht="42.0" customHeight="1">
      <c r="A13" s="34" t="s">
        <v>418</v>
      </c>
      <c r="B13" s="20" t="s">
        <v>419</v>
      </c>
      <c r="C13" s="36" t="s">
        <v>139</v>
      </c>
      <c r="D13" s="20" t="s">
        <v>420</v>
      </c>
      <c r="E13" s="20" t="s">
        <v>193</v>
      </c>
      <c r="F13" s="20" t="s">
        <v>141</v>
      </c>
      <c r="G13" s="20" t="s">
        <v>421</v>
      </c>
      <c r="H13" s="33" t="s">
        <v>70</v>
      </c>
      <c r="I13" s="20"/>
      <c r="J13" s="34"/>
    </row>
    <row r="14" ht="42.0" customHeight="1">
      <c r="A14" s="23" t="s">
        <v>422</v>
      </c>
      <c r="B14" s="21" t="s">
        <v>423</v>
      </c>
      <c r="C14" s="32" t="s">
        <v>97</v>
      </c>
      <c r="D14" s="21" t="s">
        <v>424</v>
      </c>
      <c r="E14" s="21" t="s">
        <v>193</v>
      </c>
      <c r="F14" s="21" t="str">
        <f>Variables!C8</f>
        <v>c7cf918d-7e04-4104-9790-fa5bb9d3756d</v>
      </c>
      <c r="G14" s="21" t="s">
        <v>425</v>
      </c>
      <c r="H14" s="33" t="s">
        <v>70</v>
      </c>
      <c r="I14" s="21" t="s">
        <v>426</v>
      </c>
      <c r="J14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3:J3"/>
    <mergeCell ref="A6:J6"/>
    <mergeCell ref="A11:J11"/>
  </mergeCells>
  <conditionalFormatting sqref="H4:H5 H7:H10 H12:H14">
    <cfRule type="containsText" dxfId="3" priority="1" operator="containsText" text="✅ PASS">
      <formula>NOT(ISERROR(SEARCH(("✅ PASS"),(H4))))</formula>
    </cfRule>
  </conditionalFormatting>
  <conditionalFormatting sqref="H4:H5 H7:H10 H12:H14">
    <cfRule type="containsText" dxfId="4" priority="2" operator="containsText" text="❌ FAIL">
      <formula>NOT(ISERROR(SEARCH(("❌ FAIL"),(H4))))</formula>
    </cfRule>
  </conditionalFormatting>
  <conditionalFormatting sqref="H4:H5 H7:H10 H12:H14">
    <cfRule type="containsText" dxfId="2" priority="3" operator="containsText" text="⏳ PENDING">
      <formula>NOT(ISERROR(SEARCH(("⏳ PENDING"),(H4))))</formula>
    </cfRule>
  </conditionalFormatting>
  <dataValidations>
    <dataValidation type="list" allowBlank="1" showErrorMessage="1" sqref="H4:H5 H7:H10 H12:H14">
      <formula1>"⏳ PENDIENTE,✅ PASS,❌ 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9.0"/>
    <col customWidth="1" min="4" max="4" width="42.0"/>
    <col customWidth="1" min="5" max="5" width="18.0"/>
    <col customWidth="1" min="6" max="6" width="55.0"/>
    <col customWidth="1" min="7" max="7" width="45.0"/>
    <col customWidth="1" min="8" max="8" width="16.0"/>
    <col customWidth="1" min="9" max="9" width="40.0"/>
    <col customWidth="1" min="10" max="10" width="14.0"/>
  </cols>
  <sheetData>
    <row r="1" ht="24.0" customHeight="1">
      <c r="A1" s="27" t="s">
        <v>427</v>
      </c>
      <c r="B1" s="28"/>
      <c r="C1" s="28"/>
      <c r="D1" s="28"/>
      <c r="E1" s="28"/>
      <c r="F1" s="28"/>
      <c r="G1" s="28"/>
      <c r="H1" s="28"/>
      <c r="I1" s="28"/>
      <c r="J1" s="28"/>
    </row>
    <row r="2" ht="21.75" customHeight="1">
      <c r="A2" s="22" t="s">
        <v>85</v>
      </c>
      <c r="B2" s="22" t="s">
        <v>86</v>
      </c>
      <c r="C2" s="22" t="s">
        <v>87</v>
      </c>
      <c r="D2" s="22" t="s">
        <v>88</v>
      </c>
      <c r="E2" s="22" t="s">
        <v>89</v>
      </c>
      <c r="F2" s="22" t="s">
        <v>26</v>
      </c>
      <c r="G2" s="22" t="s">
        <v>90</v>
      </c>
      <c r="H2" s="22" t="s">
        <v>91</v>
      </c>
      <c r="I2" s="22" t="s">
        <v>92</v>
      </c>
      <c r="J2" s="22" t="s">
        <v>93</v>
      </c>
    </row>
    <row r="3" ht="18.0" customHeight="1">
      <c r="A3" s="29" t="s">
        <v>428</v>
      </c>
      <c r="B3" s="30"/>
      <c r="C3" s="30"/>
      <c r="D3" s="30"/>
      <c r="E3" s="30"/>
      <c r="F3" s="30"/>
      <c r="G3" s="30"/>
      <c r="H3" s="30"/>
      <c r="I3" s="30"/>
      <c r="J3" s="31"/>
    </row>
    <row r="4" ht="42.0" customHeight="1">
      <c r="A4" s="23" t="s">
        <v>429</v>
      </c>
      <c r="B4" s="21" t="s">
        <v>430</v>
      </c>
      <c r="C4" s="32" t="s">
        <v>97</v>
      </c>
      <c r="D4" s="21" t="s">
        <v>431</v>
      </c>
      <c r="E4" s="21" t="s">
        <v>193</v>
      </c>
      <c r="F4" s="21" t="str">
        <f>Variables!C8 &amp; ", HELP_REQUEST" </f>
        <v>c7cf918d-7e04-4104-9790-fa5bb9d3756d, HELP_REQUEST</v>
      </c>
      <c r="G4" s="21" t="s">
        <v>432</v>
      </c>
      <c r="H4" s="33" t="s">
        <v>70</v>
      </c>
      <c r="I4" s="21" t="s">
        <v>433</v>
      </c>
      <c r="J4" s="23"/>
    </row>
    <row r="5" ht="42.0" customHeight="1">
      <c r="A5" s="34" t="s">
        <v>434</v>
      </c>
      <c r="B5" s="20" t="s">
        <v>435</v>
      </c>
      <c r="C5" s="36" t="s">
        <v>139</v>
      </c>
      <c r="D5" s="20" t="s">
        <v>436</v>
      </c>
      <c r="E5" s="20" t="s">
        <v>193</v>
      </c>
      <c r="F5" s="20" t="s">
        <v>141</v>
      </c>
      <c r="G5" s="20" t="s">
        <v>437</v>
      </c>
      <c r="H5" s="33" t="s">
        <v>70</v>
      </c>
      <c r="I5" s="20" t="s">
        <v>438</v>
      </c>
      <c r="J5" s="34"/>
    </row>
    <row r="6" ht="42.0" customHeight="1">
      <c r="A6" s="23" t="s">
        <v>439</v>
      </c>
      <c r="B6" s="21" t="s">
        <v>440</v>
      </c>
      <c r="C6" s="32" t="s">
        <v>97</v>
      </c>
      <c r="D6" s="21" t="s">
        <v>441</v>
      </c>
      <c r="E6" s="21" t="s">
        <v>193</v>
      </c>
      <c r="F6" s="21" t="str">
        <f>Variables!C15 &amp; ", {""content"":""Hola, ¿a qué hora te va bien para la compra?""}"</f>
        <v>66cce1b2-c3f3-4c17-a0c2-1ab7c4292c37, {"content":"Hola, ¿a qué hora te va bien para la compra?"}</v>
      </c>
      <c r="G6" s="21" t="s">
        <v>442</v>
      </c>
      <c r="H6" s="33" t="s">
        <v>70</v>
      </c>
      <c r="I6" s="21" t="s">
        <v>443</v>
      </c>
      <c r="J6" s="23"/>
    </row>
    <row r="7" ht="42.0" customHeight="1">
      <c r="A7" s="34" t="s">
        <v>444</v>
      </c>
      <c r="B7" s="20" t="s">
        <v>445</v>
      </c>
      <c r="C7" s="35" t="s">
        <v>97</v>
      </c>
      <c r="D7" s="20" t="s">
        <v>441</v>
      </c>
      <c r="E7" s="20" t="s">
        <v>193</v>
      </c>
      <c r="F7" s="21" t="str">
        <f>Variables!C15 &amp; ", {""content"":""Perfecto, me viene bien a las 10h""}"</f>
        <v>66cce1b2-c3f3-4c17-a0c2-1ab7c4292c37, {"content":"Perfecto, me viene bien a las 10h"}</v>
      </c>
      <c r="G7" s="20" t="s">
        <v>446</v>
      </c>
      <c r="H7" s="33" t="s">
        <v>70</v>
      </c>
      <c r="I7" s="21" t="s">
        <v>447</v>
      </c>
      <c r="J7" s="34"/>
    </row>
    <row r="8" ht="42.0" customHeight="1">
      <c r="A8" s="23" t="s">
        <v>448</v>
      </c>
      <c r="B8" s="21" t="s">
        <v>449</v>
      </c>
      <c r="C8" s="43" t="s">
        <v>139</v>
      </c>
      <c r="D8" s="21" t="s">
        <v>441</v>
      </c>
      <c r="E8" s="21" t="s">
        <v>193</v>
      </c>
      <c r="F8" s="21" t="str">
        <f>Variables!C15</f>
        <v>66cce1b2-c3f3-4c17-a0c2-1ab7c4292c37</v>
      </c>
      <c r="G8" s="21" t="s">
        <v>450</v>
      </c>
      <c r="H8" s="33" t="s">
        <v>70</v>
      </c>
      <c r="I8" s="21" t="s">
        <v>451</v>
      </c>
      <c r="J8" s="23"/>
    </row>
    <row r="9" ht="42.0" customHeight="1">
      <c r="A9" s="34" t="s">
        <v>452</v>
      </c>
      <c r="B9" s="20" t="s">
        <v>453</v>
      </c>
      <c r="C9" s="44" t="s">
        <v>206</v>
      </c>
      <c r="D9" s="20" t="s">
        <v>454</v>
      </c>
      <c r="E9" s="20" t="s">
        <v>193</v>
      </c>
      <c r="F9" s="20" t="str">
        <f>Variables!C15</f>
        <v>66cce1b2-c3f3-4c17-a0c2-1ab7c4292c37</v>
      </c>
      <c r="G9" s="20" t="s">
        <v>332</v>
      </c>
      <c r="H9" s="33" t="s">
        <v>70</v>
      </c>
      <c r="I9" s="20" t="s">
        <v>455</v>
      </c>
      <c r="J9" s="34"/>
    </row>
    <row r="10" ht="42.0" customHeight="1">
      <c r="A10" s="23" t="s">
        <v>456</v>
      </c>
      <c r="B10" s="21" t="s">
        <v>457</v>
      </c>
      <c r="C10" s="56" t="s">
        <v>330</v>
      </c>
      <c r="D10" s="21" t="s">
        <v>458</v>
      </c>
      <c r="E10" s="21" t="s">
        <v>193</v>
      </c>
      <c r="F10" s="21" t="str">
        <f>Variables!C15</f>
        <v>66cce1b2-c3f3-4c17-a0c2-1ab7c4292c37</v>
      </c>
      <c r="G10" s="21" t="s">
        <v>332</v>
      </c>
      <c r="H10" s="33" t="s">
        <v>70</v>
      </c>
      <c r="I10" s="21" t="s">
        <v>459</v>
      </c>
      <c r="J10" s="23"/>
    </row>
    <row r="11" ht="42.0" customHeight="1">
      <c r="A11" s="34" t="s">
        <v>460</v>
      </c>
      <c r="B11" s="20" t="s">
        <v>461</v>
      </c>
      <c r="C11" s="55" t="s">
        <v>330</v>
      </c>
      <c r="D11" s="20" t="s">
        <v>458</v>
      </c>
      <c r="E11" s="20" t="s">
        <v>193</v>
      </c>
      <c r="F11" s="20" t="str">
        <f>Variables!C15</f>
        <v>66cce1b2-c3f3-4c17-a0c2-1ab7c4292c37</v>
      </c>
      <c r="G11" s="20" t="s">
        <v>218</v>
      </c>
      <c r="H11" s="33" t="s">
        <v>70</v>
      </c>
      <c r="I11" s="20" t="s">
        <v>462</v>
      </c>
      <c r="J11" s="34"/>
    </row>
    <row r="12" ht="18.0" customHeight="1">
      <c r="A12" s="29" t="s">
        <v>463</v>
      </c>
      <c r="B12" s="30"/>
      <c r="C12" s="30"/>
      <c r="D12" s="30"/>
      <c r="E12" s="30"/>
      <c r="F12" s="30"/>
      <c r="G12" s="30"/>
      <c r="H12" s="30"/>
      <c r="I12" s="30"/>
      <c r="J12" s="31"/>
    </row>
    <row r="13" ht="42.0" customHeight="1">
      <c r="A13" s="34" t="s">
        <v>464</v>
      </c>
      <c r="B13" s="20" t="s">
        <v>465</v>
      </c>
      <c r="C13" s="36" t="s">
        <v>139</v>
      </c>
      <c r="D13" s="20" t="s">
        <v>466</v>
      </c>
      <c r="E13" s="20" t="s">
        <v>193</v>
      </c>
      <c r="F13" s="20" t="s">
        <v>141</v>
      </c>
      <c r="G13" s="20" t="s">
        <v>467</v>
      </c>
      <c r="H13" s="33" t="s">
        <v>70</v>
      </c>
      <c r="I13" s="20" t="s">
        <v>468</v>
      </c>
      <c r="J13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3:J3"/>
    <mergeCell ref="A12:J12"/>
  </mergeCells>
  <conditionalFormatting sqref="H4:H11 H13">
    <cfRule type="containsText" dxfId="3" priority="1" operator="containsText" text="✅ PASS">
      <formula>NOT(ISERROR(SEARCH(("✅ PASS"),(H4))))</formula>
    </cfRule>
  </conditionalFormatting>
  <conditionalFormatting sqref="H4:H11 H13">
    <cfRule type="containsText" dxfId="4" priority="2" operator="containsText" text="❌ FAIL">
      <formula>NOT(ISERROR(SEARCH(("❌ FAIL"),(H4))))</formula>
    </cfRule>
  </conditionalFormatting>
  <conditionalFormatting sqref="H4:H11 H13">
    <cfRule type="containsText" dxfId="2" priority="3" operator="containsText" text="⏳ PENDING">
      <formula>NOT(ISERROR(SEARCH(("⏳ PENDING"),(H4))))</formula>
    </cfRule>
  </conditionalFormatting>
  <dataValidations>
    <dataValidation type="list" allowBlank="1" showErrorMessage="1" sqref="H4:H11 H13">
      <formula1>"⏳ PENDIENTE,✅ PASS,❌ 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9.0"/>
    <col customWidth="1" min="4" max="4" width="42.0"/>
    <col customWidth="1" min="5" max="5" width="18.0"/>
    <col customWidth="1" min="6" max="6" width="55.0"/>
    <col customWidth="1" min="7" max="7" width="45.0"/>
    <col customWidth="1" min="8" max="8" width="16.0"/>
    <col customWidth="1" min="9" max="9" width="40.0"/>
    <col customWidth="1" min="10" max="10" width="14.0"/>
  </cols>
  <sheetData>
    <row r="1" ht="24.0" customHeight="1">
      <c r="A1" s="27" t="s">
        <v>469</v>
      </c>
      <c r="B1" s="28"/>
      <c r="C1" s="28"/>
      <c r="D1" s="28"/>
      <c r="E1" s="28"/>
      <c r="F1" s="28"/>
      <c r="G1" s="28"/>
      <c r="H1" s="28"/>
      <c r="I1" s="28"/>
      <c r="J1" s="28"/>
    </row>
    <row r="2" ht="21.75" customHeight="1">
      <c r="A2" s="22" t="s">
        <v>85</v>
      </c>
      <c r="B2" s="22" t="s">
        <v>86</v>
      </c>
      <c r="C2" s="22" t="s">
        <v>87</v>
      </c>
      <c r="D2" s="22" t="s">
        <v>88</v>
      </c>
      <c r="E2" s="22" t="s">
        <v>89</v>
      </c>
      <c r="F2" s="22" t="s">
        <v>26</v>
      </c>
      <c r="G2" s="22" t="s">
        <v>90</v>
      </c>
      <c r="H2" s="22" t="s">
        <v>91</v>
      </c>
      <c r="I2" s="22" t="s">
        <v>92</v>
      </c>
      <c r="J2" s="22" t="s">
        <v>93</v>
      </c>
    </row>
    <row r="3" ht="18.0" customHeight="1">
      <c r="A3" s="29" t="s">
        <v>470</v>
      </c>
      <c r="B3" s="30"/>
      <c r="C3" s="30"/>
      <c r="D3" s="30"/>
      <c r="E3" s="30"/>
      <c r="F3" s="30"/>
      <c r="G3" s="30"/>
      <c r="H3" s="30"/>
      <c r="I3" s="30"/>
      <c r="J3" s="31"/>
    </row>
    <row r="4" ht="42.0" customHeight="1">
      <c r="A4" s="23" t="s">
        <v>471</v>
      </c>
      <c r="B4" s="21" t="s">
        <v>472</v>
      </c>
      <c r="C4" s="32" t="s">
        <v>97</v>
      </c>
      <c r="D4" s="21" t="s">
        <v>473</v>
      </c>
      <c r="E4" s="21" t="s">
        <v>193</v>
      </c>
      <c r="F4" s="21" t="str">
        <f>Variables!C8</f>
        <v>c7cf918d-7e04-4104-9790-fa5bb9d3756d</v>
      </c>
      <c r="G4" s="21" t="s">
        <v>474</v>
      </c>
      <c r="H4" s="33" t="s">
        <v>70</v>
      </c>
      <c r="I4" s="21" t="s">
        <v>475</v>
      </c>
      <c r="J4" s="23"/>
    </row>
    <row r="5" ht="18.0" customHeight="1">
      <c r="A5" s="29" t="s">
        <v>476</v>
      </c>
      <c r="B5" s="30"/>
      <c r="C5" s="30"/>
      <c r="D5" s="30"/>
      <c r="E5" s="30"/>
      <c r="F5" s="30"/>
      <c r="G5" s="30"/>
      <c r="H5" s="30"/>
      <c r="I5" s="30"/>
      <c r="J5" s="31"/>
    </row>
    <row r="6" ht="42.0" customHeight="1">
      <c r="A6" s="23" t="s">
        <v>477</v>
      </c>
      <c r="B6" s="21" t="s">
        <v>478</v>
      </c>
      <c r="C6" s="32" t="s">
        <v>97</v>
      </c>
      <c r="D6" s="21" t="s">
        <v>479</v>
      </c>
      <c r="E6" s="21" t="s">
        <v>193</v>
      </c>
      <c r="F6" s="21" t="str">
        <f>"{""targetId"":""" &amp; Variables!C5 &amp; """,""helpRequestId"":""" &amp; Variables!C8 &amp; """,""rating"":5,""comment"":""Excelente voluntario, muy puntual y atento""}"</f>
        <v>{"targetId":"69ad88c5-bd50-46e1-824a-0625dabf99ea","helpRequestId":"c7cf918d-7e04-4104-9790-fa5bb9d3756d","rating":5,"comment":"Excelente voluntario, muy puntual y atento"}</v>
      </c>
      <c r="G6" s="21" t="s">
        <v>480</v>
      </c>
      <c r="H6" s="33" t="s">
        <v>70</v>
      </c>
      <c r="I6" s="21" t="s">
        <v>481</v>
      </c>
      <c r="J6" s="23"/>
    </row>
    <row r="7" ht="42.0" customHeight="1">
      <c r="A7" s="34" t="s">
        <v>482</v>
      </c>
      <c r="B7" s="20" t="s">
        <v>483</v>
      </c>
      <c r="C7" s="35" t="s">
        <v>97</v>
      </c>
      <c r="D7" s="20" t="s">
        <v>479</v>
      </c>
      <c r="E7" s="20" t="s">
        <v>193</v>
      </c>
      <c r="F7" s="20" t="str">
        <f>"{""targetId"":""" &amp; Variables!C7 &amp; """,""helpRequestId"":""" &amp; Variables!C8 &amp; """,""rating"":4,""comment"":""Todo muy claro y organizado""}"</f>
        <v>{"targetId":"f08371a0-756b-47d7-b714-533edd782035","helpRequestId":"c7cf918d-7e04-4104-9790-fa5bb9d3756d","rating":4,"comment":"Todo muy claro y organizado"}</v>
      </c>
      <c r="G7" s="20" t="s">
        <v>484</v>
      </c>
      <c r="H7" s="33" t="s">
        <v>70</v>
      </c>
      <c r="I7" s="20" t="s">
        <v>485</v>
      </c>
      <c r="J7" s="34"/>
    </row>
    <row r="8" ht="42.0" customHeight="1">
      <c r="A8" s="23" t="s">
        <v>486</v>
      </c>
      <c r="B8" s="21" t="s">
        <v>487</v>
      </c>
      <c r="C8" s="32" t="s">
        <v>97</v>
      </c>
      <c r="D8" s="21" t="s">
        <v>479</v>
      </c>
      <c r="E8" s="21" t="s">
        <v>193</v>
      </c>
      <c r="F8" s="21" t="str">
        <f>"{""targetId"":""" &amp; Variables!C5 &amp; """,""donationId"":""" &amp; Variables!C11 &amp; """,""rating"":5,""comment"":""Recogió la donación perfectamente""}"</f>
        <v>{"targetId":"69ad88c5-bd50-46e1-824a-0625dabf99ea","donationId":"8396e74a-7bc5-4793-b7c4-bd79b3b7932b","rating":5,"comment":"Recogió la donación perfectamente"}</v>
      </c>
      <c r="G8" s="21" t="s">
        <v>488</v>
      </c>
      <c r="H8" s="33" t="s">
        <v>70</v>
      </c>
      <c r="I8" s="21" t="s">
        <v>485</v>
      </c>
      <c r="J8" s="23"/>
    </row>
    <row r="9" ht="18.0" customHeight="1">
      <c r="A9" s="29" t="s">
        <v>489</v>
      </c>
      <c r="B9" s="30"/>
      <c r="C9" s="30"/>
      <c r="D9" s="30"/>
      <c r="E9" s="30"/>
      <c r="F9" s="30"/>
      <c r="G9" s="30"/>
      <c r="H9" s="30"/>
      <c r="I9" s="30"/>
      <c r="J9" s="31"/>
    </row>
    <row r="10" ht="42.0" customHeight="1">
      <c r="A10" s="23" t="s">
        <v>490</v>
      </c>
      <c r="B10" s="21" t="s">
        <v>491</v>
      </c>
      <c r="C10" s="32" t="s">
        <v>97</v>
      </c>
      <c r="D10" s="21" t="s">
        <v>479</v>
      </c>
      <c r="E10" s="21" t="s">
        <v>193</v>
      </c>
      <c r="F10" s="21" t="str">
        <f>"{""targetId"":""" &amp; Variables!C5 &amp; """,""helpRequestId"":""" &amp; Variables!C8 &amp; """,""rating"":3,""comment"":""Segunda review""}"</f>
        <v>{"targetId":"69ad88c5-bd50-46e1-824a-0625dabf99ea","helpRequestId":"c7cf918d-7e04-4104-9790-fa5bb9d3756d","rating":3,"comment":"Segunda review"}</v>
      </c>
      <c r="G10" s="21" t="s">
        <v>492</v>
      </c>
      <c r="H10" s="33" t="s">
        <v>70</v>
      </c>
      <c r="I10" s="21" t="s">
        <v>493</v>
      </c>
      <c r="J10" s="23"/>
    </row>
    <row r="11" ht="42.0" customHeight="1">
      <c r="A11" s="34" t="s">
        <v>494</v>
      </c>
      <c r="B11" s="20" t="s">
        <v>495</v>
      </c>
      <c r="C11" s="35" t="s">
        <v>97</v>
      </c>
      <c r="D11" s="20" t="s">
        <v>479</v>
      </c>
      <c r="E11" s="20" t="s">
        <v>193</v>
      </c>
      <c r="F11" s="20" t="str">
        <f>"{""targetId"":""" &amp; Variables!C6 &amp; """,""donationId"":""" &amp; Variables!C10 &amp; """,""rating"":3,""comment"":""Test""}"</f>
        <v>{"targetId":"beeaa200-52c6-44fa-9333-b4f6f375e314","donationId":"4a2c7d53-9a34-4c40-9e8f-c8972db67211","rating":3,"comment":"Test"}</v>
      </c>
      <c r="G11" s="20" t="s">
        <v>496</v>
      </c>
      <c r="H11" s="33" t="s">
        <v>70</v>
      </c>
      <c r="I11" s="20" t="s">
        <v>497</v>
      </c>
      <c r="J11" s="34"/>
    </row>
    <row r="12" ht="42.0" customHeight="1">
      <c r="A12" s="23" t="s">
        <v>498</v>
      </c>
      <c r="B12" s="21" t="s">
        <v>499</v>
      </c>
      <c r="C12" s="32" t="s">
        <v>97</v>
      </c>
      <c r="D12" s="21" t="s">
        <v>479</v>
      </c>
      <c r="E12" s="21" t="s">
        <v>193</v>
      </c>
      <c r="F12" s="21" t="str">
        <f>"{""targetId"":""" &amp; Variables!C5 &amp; """,""helpRequestId"":""" &amp; Variables!C8 &amp; """,""rating"":4,""comment"":""Test""}"</f>
        <v>{"targetId":"69ad88c5-bd50-46e1-824a-0625dabf99ea","helpRequestId":"c7cf918d-7e04-4104-9790-fa5bb9d3756d","rating":4,"comment":"Test"}</v>
      </c>
      <c r="G12" s="21" t="s">
        <v>500</v>
      </c>
      <c r="H12" s="33" t="s">
        <v>70</v>
      </c>
      <c r="I12" s="21" t="s">
        <v>501</v>
      </c>
      <c r="J12" s="23"/>
    </row>
    <row r="13" ht="18.0" customHeight="1">
      <c r="A13" s="29" t="s">
        <v>236</v>
      </c>
      <c r="B13" s="30"/>
      <c r="C13" s="30"/>
      <c r="D13" s="30"/>
      <c r="E13" s="30"/>
      <c r="F13" s="30"/>
      <c r="G13" s="30"/>
      <c r="H13" s="30"/>
      <c r="I13" s="30"/>
      <c r="J13" s="31"/>
    </row>
    <row r="14" ht="42.0" customHeight="1">
      <c r="A14" s="23" t="s">
        <v>502</v>
      </c>
      <c r="B14" s="21" t="s">
        <v>503</v>
      </c>
      <c r="C14" s="43" t="s">
        <v>139</v>
      </c>
      <c r="D14" s="21" t="s">
        <v>504</v>
      </c>
      <c r="E14" s="21" t="s">
        <v>193</v>
      </c>
      <c r="F14" s="21" t="str">
        <f>Variables!C5</f>
        <v>69ad88c5-bd50-46e1-824a-0625dabf99ea</v>
      </c>
      <c r="G14" s="21" t="s">
        <v>505</v>
      </c>
      <c r="H14" s="33" t="s">
        <v>70</v>
      </c>
      <c r="I14" s="21" t="s">
        <v>506</v>
      </c>
      <c r="J14" s="23"/>
    </row>
    <row r="15" ht="42.0" customHeight="1">
      <c r="A15" s="34" t="s">
        <v>507</v>
      </c>
      <c r="B15" s="20" t="s">
        <v>508</v>
      </c>
      <c r="C15" s="44" t="s">
        <v>206</v>
      </c>
      <c r="D15" s="20" t="s">
        <v>509</v>
      </c>
      <c r="E15" s="20" t="s">
        <v>193</v>
      </c>
      <c r="F15" s="20" t="s">
        <v>510</v>
      </c>
      <c r="G15" s="20" t="s">
        <v>511</v>
      </c>
      <c r="H15" s="33" t="s">
        <v>70</v>
      </c>
      <c r="I15" s="20" t="s">
        <v>506</v>
      </c>
      <c r="J15" s="34"/>
    </row>
    <row r="16" ht="42.0" customHeight="1">
      <c r="A16" s="23" t="s">
        <v>512</v>
      </c>
      <c r="B16" s="21" t="s">
        <v>513</v>
      </c>
      <c r="C16" s="45" t="s">
        <v>206</v>
      </c>
      <c r="D16" s="21" t="s">
        <v>509</v>
      </c>
      <c r="E16" s="21" t="s">
        <v>193</v>
      </c>
      <c r="F16" s="21" t="s">
        <v>514</v>
      </c>
      <c r="G16" s="21" t="s">
        <v>112</v>
      </c>
      <c r="H16" s="33" t="s">
        <v>70</v>
      </c>
      <c r="I16" s="21" t="s">
        <v>515</v>
      </c>
      <c r="J16" s="23"/>
    </row>
    <row r="17" ht="42.0" customHeight="1">
      <c r="A17" s="34" t="s">
        <v>516</v>
      </c>
      <c r="B17" s="20" t="s">
        <v>517</v>
      </c>
      <c r="C17" s="55" t="s">
        <v>330</v>
      </c>
      <c r="D17" s="20" t="s">
        <v>509</v>
      </c>
      <c r="E17" s="20" t="s">
        <v>193</v>
      </c>
      <c r="F17" s="20" t="s">
        <v>141</v>
      </c>
      <c r="G17" s="20" t="s">
        <v>518</v>
      </c>
      <c r="H17" s="33" t="s">
        <v>70</v>
      </c>
      <c r="I17" s="20" t="s">
        <v>519</v>
      </c>
      <c r="J17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3:J3"/>
    <mergeCell ref="A5:J5"/>
    <mergeCell ref="A9:J9"/>
    <mergeCell ref="A13:J13"/>
  </mergeCells>
  <conditionalFormatting sqref="H4 H6:H8 H10:H12 H14:H17">
    <cfRule type="containsText" dxfId="3" priority="1" operator="containsText" text="✅ PASS">
      <formula>NOT(ISERROR(SEARCH(("✅ PASS"),(H4))))</formula>
    </cfRule>
  </conditionalFormatting>
  <conditionalFormatting sqref="H4 H6:H8 H10:H12 H14:H17">
    <cfRule type="containsText" dxfId="4" priority="2" operator="containsText" text="❌ FAIL">
      <formula>NOT(ISERROR(SEARCH(("❌ FAIL"),(H4))))</formula>
    </cfRule>
  </conditionalFormatting>
  <conditionalFormatting sqref="H4 H6:H8 H10:H12 H14:H17">
    <cfRule type="containsText" dxfId="2" priority="3" operator="containsText" text="⏳ PENDING">
      <formula>NOT(ISERROR(SEARCH(("⏳ PENDING"),(H4))))</formula>
    </cfRule>
  </conditionalFormatting>
  <dataValidations>
    <dataValidation type="list" allowBlank="1" showErrorMessage="1" sqref="H4 H6:H8 H10:H12 H14:H17">
      <formula1>"⏳ PENDIENTE,✅ PASS,❌ FAIL"</formula1>
    </dataValidation>
  </dataValidations>
  <printOptions/>
  <pageMargins bottom="1.0" footer="0.0" header="0.0" left="0.75" right="0.75" top="1.0"/>
  <pageSetup orientation="landscape"/>
  <drawing r:id="rId1"/>
</worksheet>
</file>